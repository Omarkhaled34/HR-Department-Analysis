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MAREY\Documents\DEPI\Technical\dataset\"/>
    </mc:Choice>
  </mc:AlternateContent>
  <xr:revisionPtr revIDLastSave="0" documentId="13_ncr:1_{6ED7DDD2-20C1-4058-8B51-99EE2CF0A248}" xr6:coauthVersionLast="47" xr6:coauthVersionMax="47" xr10:uidLastSave="{00000000-0000-0000-0000-000000000000}"/>
  <bookViews>
    <workbookView xWindow="-108" yWindow="-108" windowWidth="23256" windowHeight="13896" activeTab="1" xr2:uid="{408BA6AB-5196-496B-9C80-B057CC378CDA}"/>
  </bookViews>
  <sheets>
    <sheet name="pivot table" sheetId="2" r:id="rId1"/>
    <sheet name="dashboard" sheetId="3" r:id="rId2"/>
    <sheet name="Sheet1" sheetId="1" r:id="rId3"/>
  </sheets>
  <definedNames>
    <definedName name="_xlcn.WorksheetConnection_hranalysis.xlsxTable11" hidden="1">Table1[]</definedName>
    <definedName name="Slicer_Department">#N/A</definedName>
    <definedName name="Slicer_Gender">#N/A</definedName>
  </definedNames>
  <calcPr calcId="191029"/>
  <pivotCaches>
    <pivotCache cacheId="3" r:id="rId4"/>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hr analysis.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7" i="2" l="1"/>
  <c r="D37" i="2"/>
  <c r="D36" i="2"/>
  <c r="E36" i="2" s="1"/>
  <c r="F31" i="2"/>
  <c r="F32" i="2"/>
  <c r="F3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F66167-B097-4A34-AA67-5CBC20C975B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D5FDF92-AE7C-46D7-A0F1-3BBA264B61E4}" name="WorksheetConnection_hr analysis.xlsx!Table1" type="102" refreshedVersion="8" minRefreshableVersion="5">
    <extLst>
      <ext xmlns:x15="http://schemas.microsoft.com/office/spreadsheetml/2010/11/main" uri="{DE250136-89BD-433C-8126-D09CA5730AF9}">
        <x15:connection id="Table1">
          <x15:rangePr sourceName="_xlcn.WorksheetConnection_hranalysis.xlsxTable11"/>
        </x15:connection>
      </ext>
    </extLst>
  </connection>
</connections>
</file>

<file path=xl/sharedStrings.xml><?xml version="1.0" encoding="utf-8"?>
<sst xmlns="http://schemas.openxmlformats.org/spreadsheetml/2006/main" count="880" uniqueCount="224">
  <si>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</si>
  <si>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</si>
  <si>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</si>
  <si>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</si>
  <si>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</si>
  <si>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</si>
  <si>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</si>
  <si>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</si>
  <si>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</si>
  <si>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</si>
  <si>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</si>
  <si>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</si>
  <si>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</si>
  <si>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</si>
  <si>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</si>
  <si>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</si>
  <si>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</si>
  <si>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</si>
  <si>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</si>
  <si>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</si>
  <si>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</si>
  <si>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</si>
  <si>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</si>
  <si>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</si>
  <si>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</si>
  <si>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</si>
  <si>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</si>
  <si>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</si>
  <si>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</si>
  <si>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</si>
  <si>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</si>
  <si>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</si>
  <si>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</si>
  <si>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</si>
  <si>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</si>
  <si>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</si>
  <si>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</si>
  <si>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</si>
  <si>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</si>
  <si>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</si>
  <si>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</si>
  <si>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</si>
  <si>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</si>
  <si>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</si>
  <si>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</si>
  <si>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</si>
  <si>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</si>
  <si>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</si>
  <si>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</si>
  <si>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</si>
  <si>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</si>
  <si>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</si>
  <si>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</si>
  <si>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</si>
  <si>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</si>
  <si>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</si>
  <si>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</si>
  <si>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</si>
  <si>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</si>
  <si>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</si>
  <si>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</si>
  <si>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</si>
  <si>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</si>
  <si>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</si>
  <si>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</si>
  <si>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</si>
  <si>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</si>
  <si>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</si>
  <si>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</si>
  <si>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</si>
  <si>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</si>
  <si>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</si>
  <si>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</si>
  <si>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</si>
  <si>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</si>
  <si>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</si>
  <si>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</si>
  <si>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</si>
  <si>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</si>
  <si>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</si>
  <si>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</si>
  <si>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</si>
  <si>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</si>
  <si>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</si>
  <si>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</si>
  <si>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</si>
  <si>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</si>
  <si>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</si>
  <si>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</si>
  <si>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</si>
  <si>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</si>
  <si>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</si>
  <si>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</si>
  <si>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</si>
  <si>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</si>
  <si>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</si>
  <si>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</si>
  <si>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</si>
  <si>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</si>
  <si>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</si>
  <si>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</si>
  <si>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</si>
  <si>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</si>
  <si>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</si>
  <si>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</si>
  <si>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</si>
  <si>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</si>
  <si>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</si>
  <si>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</si>
  <si>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</si>
  <si>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</si>
  <si>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</si>
  <si>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</si>
  <si>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</si>
  <si>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</si>
  <si>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</si>
  <si>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</si>
  <si>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</si>
  <si>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</si>
  <si>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</si>
  <si>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</si>
  <si>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</si>
  <si>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</si>
  <si>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</si>
  <si>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</si>
  <si>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</si>
  <si>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</si>
  <si>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</si>
  <si>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</si>
  <si>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</si>
  <si>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</si>
  <si>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</si>
  <si>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</si>
  <si>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</si>
  <si>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</si>
  <si>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</si>
  <si>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</si>
  <si>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</si>
  <si>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</si>
  <si>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</si>
  <si>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</si>
  <si>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</si>
  <si>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</si>
  <si>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</si>
  <si>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</si>
  <si>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</si>
  <si>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</si>
  <si>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</si>
  <si>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</si>
  <si>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</si>
  <si>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</si>
  <si>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</si>
  <si>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</si>
  <si>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</si>
  <si>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</si>
  <si>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</si>
  <si>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</si>
  <si>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</si>
  <si>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</si>
  <si>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</si>
  <si>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</si>
  <si>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</si>
  <si>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</si>
  <si>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</si>
  <si>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</si>
  <si>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</si>
  <si>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</si>
  <si>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</si>
  <si>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</si>
  <si>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</si>
  <si>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</si>
  <si>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</si>
  <si>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</si>
  <si>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</si>
  <si>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</si>
  <si>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</si>
  <si>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</si>
  <si>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</si>
  <si>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</si>
  <si>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</si>
  <si>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</si>
  <si>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</si>
  <si>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</si>
  <si>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</si>
  <si>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</si>
  <si>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</si>
  <si>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</si>
  <si>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</si>
  <si>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</si>
  <si>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</si>
  <si>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</si>
  <si>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</si>
  <si>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</si>
  <si>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</si>
  <si>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</si>
  <si>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</si>
  <si>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</si>
  <si>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</si>
  <si>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</si>
  <si>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</si>
  <si>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</si>
  <si>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</si>
  <si>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</si>
  <si>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</si>
  <si>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</si>
  <si>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</si>
  <si>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</si>
  <si>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</si>
  <si>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</si>
  <si>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</si>
  <si>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</si>
  <si>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</si>
  <si>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</si>
  <si>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</si>
  <si>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Row Labels</t>
  </si>
  <si>
    <t>Grand Total</t>
  </si>
  <si>
    <t>Count of Employee ID</t>
  </si>
  <si>
    <t>Sum of Salary</t>
  </si>
  <si>
    <t>Sum of Leave Taken</t>
  </si>
  <si>
    <t>avg performace rating</t>
  </si>
  <si>
    <t>male</t>
  </si>
  <si>
    <t>female</t>
  </si>
  <si>
    <t>Column Labels</t>
  </si>
  <si>
    <t>Average of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</si>
</sst>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_([$$-409]* #,##0.00_);_([$$-409]* \(#,##0.00\);_([$$-409]* &quot;-&quot;??_);_(@_)"/>
  </numFmts>
  <fonts count="10">
    <font>
      <sz val="11"/>
      <color theme="1"/>
      <name val="Aptos Narrow"/>
      <family val="2"/>
      <scheme val="minor"/>
    </font>
    <font>
      <b/>
      <sz val="11"/>
      <color theme="0" tint="-4.9989318521683403E-2"/>
      <name val="Kulim Park"/>
    </font>
    <font>
      <sz val="11"/>
      <color theme="1"/>
      <name val="Kulim Park"/>
    </font>
    <font>
      <sz val="11"/>
      <color theme="0" tint="-4.9989318521683403E-2"/>
      <name val="Kulim Park"/>
    </font>
    <font>
      <sz val="11"/>
      <color theme="0"/>
      <name val="Aptos Narrow"/>
      <family val="2"/>
      <scheme val="minor"/>
    </font>
    <font>
      <sz val="11"/>
      <color theme="1"/>
      <name val="Aptos Narrow"/>
      <family val="2"/>
      <scheme val="minor"/>
    </font>
    <font>
      <sz val="36"/>
      <color theme="0"/>
      <name val="Aptos Narrow"/>
      <family val="2"/>
      <scheme val="minor"/>
    </font>
    <font>
      <b/>
      <sz val="11"/>
      <color theme="1"/>
      <name val="Aptos Narrow"/>
      <family val="2"/>
      <scheme val="minor"/>
    </font>
    <font>
      <sz val="14"/>
      <color theme="1"/>
      <name val="Aptos Narrow"/>
      <family val="2"/>
      <scheme val="minor"/>
    </font>
    <font>
      <sz val="36"/>
      <color theme="1"/>
      <name val="Aptos Narrow"/>
      <family val="2"/>
      <scheme val="minor"/>
    </font>
  </fonts>
  <fills count="5">
    <fill>
      <patternFill patternType="none"/>
    </fill>
    <fill>
      <patternFill patternType="gray125"/>
    </fill>
    <fill>
      <patternFill patternType="solid">
        <fgColor rgb="FF282828"/>
        <bgColor indexed="64"/>
      </patternFill>
    </fill>
    <fill>
      <patternFill patternType="solid">
        <fgColor rgb="FFFFFF00"/>
        <bgColor indexed="64"/>
      </patternFill>
    </fill>
    <fill>
      <patternFill patternType="solid">
        <fgColor theme="4" tint="0.79998168889431442"/>
        <bgColor theme="4" tint="0.79998168889431442"/>
      </patternFill>
    </fill>
  </fills>
  <borders count="3">
    <border>
      <left/>
      <right/>
      <top/>
      <bottom/>
      <diagonal/>
    </border>
    <border>
      <left/>
      <right/>
      <top style="thin">
        <color theme="1" tint="0.499984740745262"/>
      </top>
      <bottom style="thin">
        <color theme="1" tint="0.499984740745262"/>
      </bottom>
      <diagonal/>
    </border>
    <border>
      <left/>
      <right/>
      <top/>
      <bottom style="thin">
        <color theme="4" tint="0.39997558519241921"/>
      </bottom>
      <diagonal/>
    </border>
  </borders>
  <cellStyleXfs count="2">
    <xf numFmtId="0" fontId="0" fillId="0" borderId="0"/>
    <xf numFmtId="9" fontId="5" fillId="0" borderId="0" applyFont="0" applyFill="0" applyBorder="0" applyAlignment="0" applyProtection="0"/>
  </cellStyleXfs>
  <cellXfs count="20">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xf>
    <xf numFmtId="0" fontId="0" fillId="0" borderId="0" xfId="0" pivotButton="1"/>
    <xf numFmtId="0" fontId="0" fillId="0" borderId="0" xfId="0" applyAlignment="1">
      <alignment horizontal="left"/>
    </xf>
    <xf numFmtId="0" fontId="4" fillId="0" borderId="0" xfId="0" applyFont="1"/>
    <xf numFmtId="0" fontId="6" fillId="0" borderId="0" xfId="0" applyFont="1"/>
    <xf numFmtId="9" fontId="0" fillId="0" borderId="0" xfId="1" applyFont="1"/>
    <xf numFmtId="9" fontId="0" fillId="0" borderId="0" xfId="0" applyNumberFormat="1"/>
    <xf numFmtId="10" fontId="0" fillId="0" borderId="0" xfId="0" applyNumberFormat="1"/>
    <xf numFmtId="0" fontId="7" fillId="4" borderId="2" xfId="0" applyFont="1" applyFill="1" applyBorder="1"/>
    <xf numFmtId="0" fontId="0" fillId="0" borderId="0" xfId="1" applyNumberFormat="1" applyFont="1"/>
    <xf numFmtId="9" fontId="8" fillId="0" borderId="0" xfId="1" applyFont="1"/>
    <xf numFmtId="0" fontId="0" fillId="0" borderId="0" xfId="0" applyNumberFormat="1"/>
    <xf numFmtId="0" fontId="0" fillId="3" borderId="0" xfId="0" applyNumberFormat="1" applyFill="1"/>
    <xf numFmtId="0" fontId="9" fillId="0" borderId="0" xfId="0" applyNumberFormat="1" applyFont="1"/>
    <xf numFmtId="0" fontId="7" fillId="0" borderId="0" xfId="0" applyFont="1"/>
    <xf numFmtId="44" fontId="0" fillId="0" borderId="0" xfId="0" applyNumberFormat="1"/>
    <xf numFmtId="164" fontId="0" fillId="0" borderId="0" xfId="0" applyNumberFormat="1"/>
  </cellXfs>
  <cellStyles count="2">
    <cellStyle name="Normal" xfId="0" builtinId="0"/>
    <cellStyle name="Percent" xfId="1" builtinId="5"/>
  </cellStyles>
  <dxfs count="104">
    <dxf>
      <numFmt numFmtId="34" formatCode="_(&quot;$&quot;* #,##0.00_);_(&quot;$&quot;* \(#,##0.00\);_(&quot;$&quot;* &quot;-&quot;??_);_(@_)"/>
    </dxf>
    <dxf>
      <numFmt numFmtId="164" formatCode="_([$$-409]* #,##0.00_);_([$$-409]* \(#,##0.00\);_([$$-409]* &quot;-&quot;??_);_(@_)"/>
    </dxf>
    <dxf>
      <numFmt numFmtId="13" formatCode="0%"/>
    </dxf>
    <dxf>
      <numFmt numFmtId="13" formatCode="0%"/>
    </dxf>
    <dxf>
      <numFmt numFmtId="14" formatCode="0.00%"/>
    </dxf>
    <dxf>
      <numFmt numFmtId="13" formatCode="0%"/>
    </dxf>
    <dxf>
      <numFmt numFmtId="0" formatCode="General"/>
    </dxf>
    <dxf>
      <numFmt numFmtId="0" formatCode="General"/>
    </dxf>
    <dxf>
      <numFmt numFmtId="0" formatCode="General"/>
    </dxf>
    <dxf>
      <font>
        <sz val="36"/>
      </font>
    </dxf>
    <dxf>
      <fill>
        <patternFill patternType="solid">
          <bgColor rgb="FFFFFF00"/>
        </patternFill>
      </fill>
    </dxf>
    <dxf>
      <numFmt numFmtId="14" formatCode="0.00%"/>
    </dxf>
    <dxf>
      <numFmt numFmtId="13" formatCode="0%"/>
    </dxf>
    <dxf>
      <numFmt numFmtId="34" formatCode="_(&quot;$&quot;* #,##0.00_);_(&quot;$&quot;* \(#,##0.00\);_(&quot;$&quot;* &quot;-&quot;??_);_(@_)"/>
    </dxf>
    <dxf>
      <numFmt numFmtId="164" formatCode="_([$$-409]* #,##0.00_);_([$$-409]* \(#,##0.00\);_([$$-409]* &quot;-&quot;??_);_(@_)"/>
    </dxf>
    <dxf>
      <numFmt numFmtId="13" formatCode="0%"/>
    </dxf>
    <dxf>
      <numFmt numFmtId="13" formatCode="0%"/>
    </dxf>
    <dxf>
      <numFmt numFmtId="14" formatCode="0.00%"/>
    </dxf>
    <dxf>
      <numFmt numFmtId="13" formatCode="0%"/>
    </dxf>
    <dxf>
      <numFmt numFmtId="0" formatCode="General"/>
    </dxf>
    <dxf>
      <numFmt numFmtId="0" formatCode="General"/>
    </dxf>
    <dxf>
      <numFmt numFmtId="0" formatCode="General"/>
    </dxf>
    <dxf>
      <font>
        <sz val="36"/>
      </font>
    </dxf>
    <dxf>
      <fill>
        <patternFill patternType="solid">
          <bgColor rgb="FFFFFF00"/>
        </patternFill>
      </fill>
    </dxf>
    <dxf>
      <numFmt numFmtId="14" formatCode="0.00%"/>
    </dxf>
    <dxf>
      <numFmt numFmtId="13" formatCode="0%"/>
    </dxf>
    <dxf>
      <numFmt numFmtId="34" formatCode="_(&quot;$&quot;* #,##0.00_);_(&quot;$&quot;* \(#,##0.00\);_(&quot;$&quot;* &quot;-&quot;??_);_(@_)"/>
    </dxf>
    <dxf>
      <numFmt numFmtId="164" formatCode="_([$$-409]* #,##0.00_);_([$$-409]* \(#,##0.00\);_([$$-409]* &quot;-&quot;??_);_(@_)"/>
    </dxf>
    <dxf>
      <numFmt numFmtId="13" formatCode="0%"/>
    </dxf>
    <dxf>
      <numFmt numFmtId="13" formatCode="0%"/>
    </dxf>
    <dxf>
      <numFmt numFmtId="14" formatCode="0.00%"/>
    </dxf>
    <dxf>
      <numFmt numFmtId="13" formatCode="0%"/>
    </dxf>
    <dxf>
      <numFmt numFmtId="0" formatCode="General"/>
    </dxf>
    <dxf>
      <numFmt numFmtId="0" formatCode="General"/>
    </dxf>
    <dxf>
      <numFmt numFmtId="0" formatCode="General"/>
    </dxf>
    <dxf>
      <font>
        <sz val="36"/>
      </font>
    </dxf>
    <dxf>
      <fill>
        <patternFill patternType="solid">
          <bgColor rgb="FFFFFF00"/>
        </patternFill>
      </fill>
    </dxf>
    <dxf>
      <numFmt numFmtId="14" formatCode="0.00%"/>
    </dxf>
    <dxf>
      <numFmt numFmtId="13" formatCode="0%"/>
    </dxf>
    <dxf>
      <numFmt numFmtId="34" formatCode="_(&quot;$&quot;* #,##0.00_);_(&quot;$&quot;* \(#,##0.00\);_(&quot;$&quot;* &quot;-&quot;??_);_(@_)"/>
    </dxf>
    <dxf>
      <numFmt numFmtId="164" formatCode="_([$$-409]* #,##0.00_);_([$$-409]* \(#,##0.00\);_([$$-409]* &quot;-&quot;??_);_(@_)"/>
    </dxf>
    <dxf>
      <numFmt numFmtId="13" formatCode="0%"/>
    </dxf>
    <dxf>
      <numFmt numFmtId="13" formatCode="0%"/>
    </dxf>
    <dxf>
      <numFmt numFmtId="14" formatCode="0.00%"/>
    </dxf>
    <dxf>
      <numFmt numFmtId="13" formatCode="0%"/>
    </dxf>
    <dxf>
      <numFmt numFmtId="0" formatCode="General"/>
    </dxf>
    <dxf>
      <numFmt numFmtId="0" formatCode="General"/>
    </dxf>
    <dxf>
      <numFmt numFmtId="0" formatCode="General"/>
    </dxf>
    <dxf>
      <font>
        <sz val="36"/>
      </font>
    </dxf>
    <dxf>
      <fill>
        <patternFill patternType="solid">
          <bgColor rgb="FFFFFF00"/>
        </patternFill>
      </fill>
    </dxf>
    <dxf>
      <numFmt numFmtId="14" formatCode="0.00%"/>
    </dxf>
    <dxf>
      <numFmt numFmtId="13" formatCode="0%"/>
    </dxf>
    <dxf>
      <numFmt numFmtId="34" formatCode="_(&quot;$&quot;* #,##0.00_);_(&quot;$&quot;* \(#,##0.00\);_(&quot;$&quot;* &quot;-&quot;??_);_(@_)"/>
    </dxf>
    <dxf>
      <numFmt numFmtId="164" formatCode="_([$$-409]* #,##0.00_);_([$$-409]* \(#,##0.00\);_([$$-409]* &quot;-&quot;??_);_(@_)"/>
    </dxf>
    <dxf>
      <numFmt numFmtId="13" formatCode="0%"/>
    </dxf>
    <dxf>
      <numFmt numFmtId="13" formatCode="0%"/>
    </dxf>
    <dxf>
      <numFmt numFmtId="14" formatCode="0.00%"/>
    </dxf>
    <dxf>
      <numFmt numFmtId="13" formatCode="0%"/>
    </dxf>
    <dxf>
      <numFmt numFmtId="0" formatCode="General"/>
    </dxf>
    <dxf>
      <numFmt numFmtId="0" formatCode="General"/>
    </dxf>
    <dxf>
      <numFmt numFmtId="0" formatCode="General"/>
    </dxf>
    <dxf>
      <font>
        <sz val="36"/>
      </font>
    </dxf>
    <dxf>
      <fill>
        <patternFill patternType="solid">
          <bgColor rgb="FFFFFF00"/>
        </patternFill>
      </fill>
    </dxf>
    <dxf>
      <numFmt numFmtId="14" formatCode="0.00%"/>
    </dxf>
    <dxf>
      <numFmt numFmtId="13" formatCode="0%"/>
    </dxf>
    <dxf>
      <numFmt numFmtId="164" formatCode="_([$$-409]* #,##0.00_);_([$$-409]* \(#,##0.00\);_([$$-409]* &quot;-&quot;??_);_(@_)"/>
    </dxf>
    <dxf>
      <numFmt numFmtId="34" formatCode="_(&quot;$&quot;* #,##0.00_);_(&quot;$&quot;* \(#,##0.00\);_(&quot;$&quot;* &quot;-&quot;??_);_(@_)"/>
    </dxf>
    <dxf>
      <numFmt numFmtId="13" formatCode="0%"/>
    </dxf>
    <dxf>
      <numFmt numFmtId="13" formatCode="0%"/>
    </dxf>
    <dxf>
      <numFmt numFmtId="14" formatCode="0.00%"/>
    </dxf>
    <dxf>
      <numFmt numFmtId="13" formatCode="0%"/>
    </dxf>
    <dxf>
      <numFmt numFmtId="0" formatCode="General"/>
    </dxf>
    <dxf>
      <numFmt numFmtId="0" formatCode="General"/>
    </dxf>
    <dxf>
      <numFmt numFmtId="0" formatCode="General"/>
    </dxf>
    <dxf>
      <font>
        <sz val="36"/>
      </font>
    </dxf>
    <dxf>
      <fill>
        <patternFill patternType="solid">
          <bgColor rgb="FFFFFF00"/>
        </patternFill>
      </fill>
    </dxf>
    <dxf>
      <numFmt numFmtId="14" formatCode="0.00%"/>
    </dxf>
    <dxf>
      <numFmt numFmtId="13" formatCode="0%"/>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numFmt numFmtId="0" formatCode="General"/>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b/>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sz val="36"/>
      </font>
    </dxf>
    <dxf>
      <font>
        <color theme="0"/>
      </font>
    </dxf>
    <dxf>
      <font>
        <b val="0"/>
        <i val="0"/>
        <sz val="10"/>
        <name val="Kermit Semibold"/>
        <family val="2"/>
        <scheme val="none"/>
      </font>
      <fill>
        <patternFill>
          <fgColor theme="1" tint="0.14990691854609822"/>
          <bgColor theme="2" tint="-0.89996032593768116"/>
        </patternFill>
      </fill>
    </dxf>
  </dxfs>
  <tableStyles count="2" defaultTableStyle="TableStyleMedium2" defaultPivotStyle="PivotStyleLight16">
    <tableStyle name="Slicer Style 1" pivot="0" table="0" count="3" xr9:uid="{20BD4BE7-61E0-416F-9CD9-BAE960755AA4}">
      <tableStyleElement type="wholeTable" dxfId="103"/>
    </tableStyle>
    <tableStyle name="Slicer Style 2" pivot="0" table="0" count="0" xr9:uid="{76A56C05-9A88-40EC-A4B1-DBC9566D7BE3}"/>
  </tableStyles>
  <colors>
    <mruColors>
      <color rgb="FF2C3333"/>
      <color rgb="FF1E201E"/>
      <color rgb="FF285A48"/>
      <color rgb="FF4C5C2D"/>
      <color rgb="FFE5B244"/>
      <color rgb="FFFCBF49"/>
      <color rgb="FF171717"/>
      <color rgb="FF1F1F1F"/>
      <color rgb="FF282828"/>
      <color rgb="FF1C1C2E"/>
    </mruColors>
  </colors>
  <extLst>
    <ext xmlns:x14="http://schemas.microsoft.com/office/spreadsheetml/2009/9/main" uri="{46F421CA-312F-682f-3DD2-61675219B42D}">
      <x14:dxfs count="2">
        <dxf>
          <font>
            <b/>
            <i/>
            <color rgb="FFE5B244"/>
            <name val="Kermit Semibold"/>
            <family val="2"/>
            <scheme val="none"/>
          </font>
          <fill>
            <patternFill>
              <bgColor rgb="FF282828"/>
            </patternFill>
          </fill>
        </dxf>
        <dxf>
          <font>
            <b val="0"/>
            <i val="0"/>
            <sz val="10"/>
            <color theme="2" tint="-0.89996032593768116"/>
            <name val="Kermit Semibold"/>
            <family val="2"/>
            <scheme val="none"/>
          </font>
          <fill>
            <patternFill>
              <fgColor rgb="FFFCBF49"/>
              <bgColor rgb="FFE5B244"/>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hoveredUn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7" Type="http://schemas.microsoft.com/office/2007/relationships/slicerCache" Target="slicerCaches/slicerCache2.xml"/><Relationship Id="rId12" Type="http://schemas.openxmlformats.org/officeDocument/2006/relationships/powerPivotData" Target="model/item.data"/><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24" Type="http://schemas.openxmlformats.org/officeDocument/2006/relationships/customXml" Target="../customXml/item11.xml"/><Relationship Id="rId5" Type="http://schemas.openxmlformats.org/officeDocument/2006/relationships/pivotCacheDefinition" Target="pivotCache/pivotCacheDefinition2.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styles" Target="styles.xml"/><Relationship Id="rId19" Type="http://schemas.openxmlformats.org/officeDocument/2006/relationships/customXml" Target="../customXml/item6.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566308243727599E-2"/>
          <c:y val="0.15232974910394265"/>
          <c:w val="0.80286738351254483"/>
          <c:h val="0.80286738351254483"/>
        </c:manualLayout>
      </c:layout>
      <c:barChart>
        <c:barDir val="bar"/>
        <c:grouping val="clustered"/>
        <c:varyColors val="0"/>
        <c:dLbls>
          <c:showLegendKey val="0"/>
          <c:showVal val="0"/>
          <c:showCatName val="0"/>
          <c:showSerName val="0"/>
          <c:showPercent val="0"/>
          <c:showBubbleSize val="0"/>
        </c:dLbls>
        <c:gapWidth val="182"/>
        <c:axId val="1539970975"/>
        <c:axId val="1539971455"/>
      </c:barChart>
      <c:catAx>
        <c:axId val="1539970975"/>
        <c:scaling>
          <c:orientation val="minMax"/>
        </c:scaling>
        <c:delete val="1"/>
        <c:axPos val="l"/>
        <c:numFmt formatCode="General" sourceLinked="1"/>
        <c:majorTickMark val="none"/>
        <c:minorTickMark val="none"/>
        <c:tickLblPos val="nextTo"/>
        <c:crossAx val="1539971455"/>
        <c:crosses val="autoZero"/>
        <c:auto val="1"/>
        <c:lblAlgn val="ctr"/>
        <c:lblOffset val="100"/>
        <c:noMultiLvlLbl val="0"/>
      </c:catAx>
      <c:valAx>
        <c:axId val="1539971455"/>
        <c:scaling>
          <c:orientation val="minMax"/>
        </c:scaling>
        <c:delete val="1"/>
        <c:axPos val="b"/>
        <c:numFmt formatCode="0%" sourceLinked="1"/>
        <c:majorTickMark val="none"/>
        <c:minorTickMark val="none"/>
        <c:tickLblPos val="nextTo"/>
        <c:crossAx val="153997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table!PivotTable17</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CBF4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682179978322512E-2"/>
          <c:y val="0.10476190476190476"/>
          <c:w val="0.90323288817473479"/>
          <c:h val="0.7985163069489708"/>
        </c:manualLayout>
      </c:layout>
      <c:barChart>
        <c:barDir val="bar"/>
        <c:grouping val="stacked"/>
        <c:varyColors val="0"/>
        <c:ser>
          <c:idx val="0"/>
          <c:order val="0"/>
          <c:tx>
            <c:strRef>
              <c:f>'pivot table'!$J$40</c:f>
              <c:strCache>
                <c:ptCount val="1"/>
                <c:pt idx="0">
                  <c:v>Total</c:v>
                </c:pt>
              </c:strCache>
            </c:strRef>
          </c:tx>
          <c:spPr>
            <a:solidFill>
              <a:srgbClr val="FCBF49"/>
            </a:solidFill>
            <a:ln>
              <a:noFill/>
            </a:ln>
            <a:effectLst/>
          </c:spPr>
          <c:invertIfNegative val="0"/>
          <c:cat>
            <c:strRef>
              <c:f>'pivot table'!$I$41:$I$44</c:f>
              <c:strCache>
                <c:ptCount val="3"/>
                <c:pt idx="0">
                  <c:v>Branch Office</c:v>
                </c:pt>
                <c:pt idx="1">
                  <c:v>Head Office</c:v>
                </c:pt>
                <c:pt idx="2">
                  <c:v>Remote</c:v>
                </c:pt>
              </c:strCache>
            </c:strRef>
          </c:cat>
          <c:val>
            <c:numRef>
              <c:f>'pivot table'!$J$41:$J$44</c:f>
              <c:numCache>
                <c:formatCode>0%</c:formatCode>
                <c:ptCount val="3"/>
                <c:pt idx="0">
                  <c:v>0.46</c:v>
                </c:pt>
                <c:pt idx="1">
                  <c:v>0.16</c:v>
                </c:pt>
                <c:pt idx="2">
                  <c:v>0.38</c:v>
                </c:pt>
              </c:numCache>
            </c:numRef>
          </c:val>
          <c:extLst>
            <c:ext xmlns:c16="http://schemas.microsoft.com/office/drawing/2014/chart" uri="{C3380CC4-5D6E-409C-BE32-E72D297353CC}">
              <c16:uniqueId val="{00000000-D1C7-447C-940C-1D8131525A98}"/>
            </c:ext>
          </c:extLst>
        </c:ser>
        <c:dLbls>
          <c:showLegendKey val="0"/>
          <c:showVal val="0"/>
          <c:showCatName val="0"/>
          <c:showSerName val="0"/>
          <c:showPercent val="0"/>
          <c:showBubbleSize val="0"/>
        </c:dLbls>
        <c:gapWidth val="227"/>
        <c:overlap val="100"/>
        <c:axId val="428597743"/>
        <c:axId val="428598223"/>
      </c:barChart>
      <c:catAx>
        <c:axId val="428597743"/>
        <c:scaling>
          <c:orientation val="minMax"/>
        </c:scaling>
        <c:delete val="1"/>
        <c:axPos val="l"/>
        <c:numFmt formatCode="General" sourceLinked="1"/>
        <c:majorTickMark val="none"/>
        <c:minorTickMark val="none"/>
        <c:tickLblPos val="nextTo"/>
        <c:crossAx val="428598223"/>
        <c:crosses val="autoZero"/>
        <c:auto val="1"/>
        <c:lblAlgn val="ctr"/>
        <c:lblOffset val="100"/>
        <c:noMultiLvlLbl val="0"/>
      </c:catAx>
      <c:valAx>
        <c:axId val="428598223"/>
        <c:scaling>
          <c:orientation val="minMax"/>
        </c:scaling>
        <c:delete val="1"/>
        <c:axPos val="b"/>
        <c:numFmt formatCode="0%" sourceLinked="1"/>
        <c:majorTickMark val="none"/>
        <c:minorTickMark val="none"/>
        <c:tickLblPos val="nextTo"/>
        <c:crossAx val="42859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table!PivotTable16</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5B2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341435619345096E-2"/>
          <c:y val="0.13671912847858983"/>
          <c:w val="0.89131732811780984"/>
          <c:h val="0.75768045689532937"/>
        </c:manualLayout>
      </c:layout>
      <c:barChart>
        <c:barDir val="col"/>
        <c:grouping val="clustered"/>
        <c:varyColors val="0"/>
        <c:ser>
          <c:idx val="0"/>
          <c:order val="0"/>
          <c:tx>
            <c:strRef>
              <c:f>'pivot table'!$F$51:$F$52</c:f>
              <c:strCache>
                <c:ptCount val="1"/>
                <c:pt idx="0">
                  <c:v>Female</c:v>
                </c:pt>
              </c:strCache>
            </c:strRef>
          </c:tx>
          <c:spPr>
            <a:solidFill>
              <a:srgbClr val="E5B2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table'!$E$53:$E$58</c:f>
              <c:strCache>
                <c:ptCount val="5"/>
                <c:pt idx="0">
                  <c:v>18-25</c:v>
                </c:pt>
                <c:pt idx="1">
                  <c:v>26-35</c:v>
                </c:pt>
                <c:pt idx="2">
                  <c:v>36-45</c:v>
                </c:pt>
                <c:pt idx="3">
                  <c:v>46-55</c:v>
                </c:pt>
                <c:pt idx="4">
                  <c:v>56 &lt;</c:v>
                </c:pt>
              </c:strCache>
            </c:strRef>
          </c:cat>
          <c:val>
            <c:numRef>
              <c:f>'pivot table'!$F$53:$F$58</c:f>
              <c:numCache>
                <c:formatCode>General</c:formatCode>
                <c:ptCount val="5"/>
                <c:pt idx="0">
                  <c:v>6</c:v>
                </c:pt>
                <c:pt idx="1">
                  <c:v>7</c:v>
                </c:pt>
                <c:pt idx="2">
                  <c:v>5</c:v>
                </c:pt>
                <c:pt idx="3">
                  <c:v>4</c:v>
                </c:pt>
                <c:pt idx="4">
                  <c:v>4</c:v>
                </c:pt>
              </c:numCache>
            </c:numRef>
          </c:val>
          <c:extLst>
            <c:ext xmlns:c16="http://schemas.microsoft.com/office/drawing/2014/chart" uri="{C3380CC4-5D6E-409C-BE32-E72D297353CC}">
              <c16:uniqueId val="{00000000-4BA8-4285-AFA0-DADB536D71DC}"/>
            </c:ext>
          </c:extLst>
        </c:ser>
        <c:ser>
          <c:idx val="1"/>
          <c:order val="1"/>
          <c:tx>
            <c:strRef>
              <c:f>'pivot table'!$G$51:$G$52</c:f>
              <c:strCache>
                <c:ptCount val="1"/>
                <c:pt idx="0">
                  <c:v>Male</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table'!$E$53:$E$58</c:f>
              <c:strCache>
                <c:ptCount val="5"/>
                <c:pt idx="0">
                  <c:v>18-25</c:v>
                </c:pt>
                <c:pt idx="1">
                  <c:v>26-35</c:v>
                </c:pt>
                <c:pt idx="2">
                  <c:v>36-45</c:v>
                </c:pt>
                <c:pt idx="3">
                  <c:v>46-55</c:v>
                </c:pt>
                <c:pt idx="4">
                  <c:v>56 &lt;</c:v>
                </c:pt>
              </c:strCache>
            </c:strRef>
          </c:cat>
          <c:val>
            <c:numRef>
              <c:f>'pivot table'!$G$53:$G$58</c:f>
              <c:numCache>
                <c:formatCode>General</c:formatCode>
                <c:ptCount val="5"/>
                <c:pt idx="0">
                  <c:v>3</c:v>
                </c:pt>
                <c:pt idx="1">
                  <c:v>6</c:v>
                </c:pt>
                <c:pt idx="2">
                  <c:v>7</c:v>
                </c:pt>
                <c:pt idx="3">
                  <c:v>3</c:v>
                </c:pt>
                <c:pt idx="4">
                  <c:v>5</c:v>
                </c:pt>
              </c:numCache>
            </c:numRef>
          </c:val>
          <c:extLst>
            <c:ext xmlns:c16="http://schemas.microsoft.com/office/drawing/2014/chart" uri="{C3380CC4-5D6E-409C-BE32-E72D297353CC}">
              <c16:uniqueId val="{0000000C-8103-4D4B-A218-10A146FF4D27}"/>
            </c:ext>
          </c:extLst>
        </c:ser>
        <c:dLbls>
          <c:dLblPos val="outEnd"/>
          <c:showLegendKey val="0"/>
          <c:showVal val="1"/>
          <c:showCatName val="0"/>
          <c:showSerName val="0"/>
          <c:showPercent val="0"/>
          <c:showBubbleSize val="0"/>
        </c:dLbls>
        <c:gapWidth val="168"/>
        <c:overlap val="-27"/>
        <c:axId val="1749450095"/>
        <c:axId val="1749451535"/>
      </c:barChart>
      <c:catAx>
        <c:axId val="1749450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49451535"/>
        <c:crosses val="autoZero"/>
        <c:auto val="1"/>
        <c:lblAlgn val="ctr"/>
        <c:lblOffset val="100"/>
        <c:noMultiLvlLbl val="0"/>
      </c:catAx>
      <c:valAx>
        <c:axId val="1749451535"/>
        <c:scaling>
          <c:orientation val="minMax"/>
        </c:scaling>
        <c:delete val="1"/>
        <c:axPos val="l"/>
        <c:numFmt formatCode="General" sourceLinked="1"/>
        <c:majorTickMark val="out"/>
        <c:minorTickMark val="none"/>
        <c:tickLblPos val="nextTo"/>
        <c:crossAx val="174945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table!PivotTable15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FCBF49"/>
                </a:solidFill>
              </a:rPr>
              <a:t>Female</a:t>
            </a:r>
            <a:endParaRPr lang="en-US" b="1">
              <a:solidFill>
                <a:srgbClr val="FCBF49"/>
              </a:solidFill>
            </a:endParaRPr>
          </a:p>
        </c:rich>
      </c:tx>
      <c:layout>
        <c:manualLayout>
          <c:xMode val="edge"/>
          <c:yMode val="edge"/>
          <c:x val="0.25335305719921108"/>
          <c:y val="2.00803212851405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85000"/>
              <a:lumOff val="15000"/>
            </a:schemeClr>
          </a:solidFill>
          <a:ln w="19050">
            <a:solidFill>
              <a:schemeClr val="lt1"/>
            </a:solidFill>
          </a:ln>
          <a:effectLst/>
        </c:spPr>
      </c:pivotFmt>
      <c:pivotFmt>
        <c:idx val="2"/>
        <c:spPr>
          <a:solidFill>
            <a:schemeClr val="bg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w="19050">
            <a:solidFill>
              <a:schemeClr val="lt1"/>
            </a:solidFill>
          </a:ln>
          <a:effectLst/>
        </c:spPr>
      </c:pivotFmt>
      <c:pivotFmt>
        <c:idx val="5"/>
        <c:spPr>
          <a:solidFill>
            <a:schemeClr val="tx1">
              <a:lumMod val="85000"/>
              <a:lumOff val="15000"/>
            </a:schemeClr>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solidFill>
          <a:ln w="19050">
            <a:noFill/>
          </a:ln>
          <a:effectLst/>
        </c:spPr>
      </c:pivotFmt>
      <c:pivotFmt>
        <c:idx val="8"/>
        <c:spPr>
          <a:solidFill>
            <a:schemeClr val="bg2">
              <a:lumMod val="10000"/>
            </a:schemeClr>
          </a:solidFill>
          <a:ln w="19050">
            <a:noFill/>
          </a:ln>
          <a:effectLst/>
        </c:spPr>
      </c:pivotFmt>
    </c:pivotFmts>
    <c:plotArea>
      <c:layout>
        <c:manualLayout>
          <c:layoutTarget val="inner"/>
          <c:xMode val="edge"/>
          <c:yMode val="edge"/>
          <c:x val="0.11155476867166753"/>
          <c:y val="0.24642981374316159"/>
          <c:w val="0.73040503812763047"/>
          <c:h val="0.74360512917812982"/>
        </c:manualLayout>
      </c:layout>
      <c:doughnutChart>
        <c:varyColors val="1"/>
        <c:ser>
          <c:idx val="0"/>
          <c:order val="0"/>
          <c:tx>
            <c:strRef>
              <c:f>'pivot table'!$E$20</c:f>
              <c:strCache>
                <c:ptCount val="1"/>
                <c:pt idx="0">
                  <c:v>Total</c:v>
                </c:pt>
              </c:strCache>
            </c:strRef>
          </c:tx>
          <c:spPr>
            <a:ln>
              <a:noFill/>
            </a:ln>
          </c:spPr>
          <c:dPt>
            <c:idx val="0"/>
            <c:bubble3D val="0"/>
            <c:spPr>
              <a:solidFill>
                <a:schemeClr val="bg1"/>
              </a:solidFill>
              <a:ln w="19050">
                <a:noFill/>
              </a:ln>
              <a:effectLst/>
            </c:spPr>
            <c:extLst>
              <c:ext xmlns:c16="http://schemas.microsoft.com/office/drawing/2014/chart" uri="{C3380CC4-5D6E-409C-BE32-E72D297353CC}">
                <c16:uniqueId val="{00000001-B85C-4EF3-9AD5-CCC1F14BC864}"/>
              </c:ext>
            </c:extLst>
          </c:dPt>
          <c:dPt>
            <c:idx val="1"/>
            <c:bubble3D val="0"/>
            <c:spPr>
              <a:solidFill>
                <a:schemeClr val="bg2">
                  <a:lumMod val="10000"/>
                </a:schemeClr>
              </a:solidFill>
              <a:ln w="19050">
                <a:noFill/>
              </a:ln>
              <a:effectLst/>
            </c:spPr>
            <c:extLst>
              <c:ext xmlns:c16="http://schemas.microsoft.com/office/drawing/2014/chart" uri="{C3380CC4-5D6E-409C-BE32-E72D297353CC}">
                <c16:uniqueId val="{00000003-B85C-4EF3-9AD5-CCC1F14BC864}"/>
              </c:ext>
            </c:extLst>
          </c:dPt>
          <c:cat>
            <c:strRef>
              <c:f>'pivot table'!$D$21:$D$23</c:f>
              <c:strCache>
                <c:ptCount val="2"/>
                <c:pt idx="0">
                  <c:v>Female</c:v>
                </c:pt>
                <c:pt idx="1">
                  <c:v>Male</c:v>
                </c:pt>
              </c:strCache>
            </c:strRef>
          </c:cat>
          <c:val>
            <c:numRef>
              <c:f>'pivot table'!$E$21:$E$23</c:f>
              <c:numCache>
                <c:formatCode>0%</c:formatCode>
                <c:ptCount val="2"/>
                <c:pt idx="0">
                  <c:v>0.52</c:v>
                </c:pt>
                <c:pt idx="1">
                  <c:v>0.48</c:v>
                </c:pt>
              </c:numCache>
            </c:numRef>
          </c:val>
          <c:extLst>
            <c:ext xmlns:c16="http://schemas.microsoft.com/office/drawing/2014/chart" uri="{C3380CC4-5D6E-409C-BE32-E72D297353CC}">
              <c16:uniqueId val="{00000004-B85C-4EF3-9AD5-CCC1F14BC864}"/>
            </c:ext>
          </c:extLst>
        </c:ser>
        <c:dLbls>
          <c:showLegendKey val="0"/>
          <c:showVal val="0"/>
          <c:showCatName val="0"/>
          <c:showSerName val="0"/>
          <c:showPercent val="0"/>
          <c:showBubbleSize val="0"/>
          <c:showLeaderLines val="1"/>
        </c:dLbls>
        <c:firstSliceAng val="0"/>
        <c:holeSize val="71"/>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FCBF49"/>
                </a:solidFill>
              </a:rPr>
              <a:t>Male</a:t>
            </a:r>
            <a:endParaRPr lang="en-US" b="1">
              <a:solidFill>
                <a:srgbClr val="FCBF49"/>
              </a:solidFill>
            </a:endParaRPr>
          </a:p>
        </c:rich>
      </c:tx>
      <c:layout>
        <c:manualLayout>
          <c:xMode val="edge"/>
          <c:yMode val="edge"/>
          <c:x val="0.30227091681037938"/>
          <c:y val="9.636743230099912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10000"/>
            </a:schemeClr>
          </a:solidFill>
          <a:ln w="19050">
            <a:solidFill>
              <a:schemeClr val="lt1"/>
            </a:solidFill>
          </a:ln>
          <a:effectLst/>
        </c:spPr>
      </c:pivotFmt>
      <c:pivotFmt>
        <c:idx val="2"/>
        <c:spPr>
          <a:solidFill>
            <a:schemeClr val="bg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w="19050">
            <a:solidFill>
              <a:schemeClr val="lt1"/>
            </a:solidFill>
          </a:ln>
          <a:effectLst/>
        </c:spPr>
      </c:pivotFmt>
      <c:pivotFmt>
        <c:idx val="5"/>
        <c:spPr>
          <a:solidFill>
            <a:schemeClr val="bg2">
              <a:lumMod val="10000"/>
            </a:schemeClr>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solidFill>
          <a:ln w="19050">
            <a:noFill/>
          </a:ln>
          <a:effectLst/>
        </c:spPr>
      </c:pivotFmt>
      <c:pivotFmt>
        <c:idx val="8"/>
        <c:spPr>
          <a:solidFill>
            <a:schemeClr val="bg2">
              <a:lumMod val="10000"/>
            </a:schemeClr>
          </a:solidFill>
          <a:ln w="19050">
            <a:noFill/>
          </a:ln>
          <a:effectLst/>
        </c:spPr>
      </c:pivotFmt>
    </c:pivotFmts>
    <c:plotArea>
      <c:layout>
        <c:manualLayout>
          <c:layoutTarget val="inner"/>
          <c:xMode val="edge"/>
          <c:yMode val="edge"/>
          <c:x val="0.12693876107863475"/>
          <c:y val="0.24367582509034535"/>
          <c:w val="0.76599788007268321"/>
          <c:h val="0.74220912603315892"/>
        </c:manualLayout>
      </c:layout>
      <c:doughnutChart>
        <c:varyColors val="1"/>
        <c:ser>
          <c:idx val="0"/>
          <c:order val="0"/>
          <c:tx>
            <c:strRef>
              <c:f>'pivot table'!$B$3</c:f>
              <c:strCache>
                <c:ptCount val="1"/>
                <c:pt idx="0">
                  <c:v>Total</c:v>
                </c:pt>
              </c:strCache>
            </c:strRef>
          </c:tx>
          <c:spPr>
            <a:ln>
              <a:noFill/>
            </a:ln>
          </c:spPr>
          <c:dPt>
            <c:idx val="0"/>
            <c:bubble3D val="0"/>
            <c:spPr>
              <a:solidFill>
                <a:schemeClr val="bg1"/>
              </a:solidFill>
              <a:ln w="19050">
                <a:noFill/>
              </a:ln>
              <a:effectLst/>
            </c:spPr>
            <c:extLst>
              <c:ext xmlns:c16="http://schemas.microsoft.com/office/drawing/2014/chart" uri="{C3380CC4-5D6E-409C-BE32-E72D297353CC}">
                <c16:uniqueId val="{00000001-AB31-41AC-9AD5-1EC05E0ED7E0}"/>
              </c:ext>
            </c:extLst>
          </c:dPt>
          <c:dPt>
            <c:idx val="1"/>
            <c:bubble3D val="0"/>
            <c:spPr>
              <a:solidFill>
                <a:schemeClr val="bg2">
                  <a:lumMod val="10000"/>
                </a:schemeClr>
              </a:solidFill>
              <a:ln w="19050">
                <a:noFill/>
              </a:ln>
              <a:effectLst/>
            </c:spPr>
            <c:extLst>
              <c:ext xmlns:c16="http://schemas.microsoft.com/office/drawing/2014/chart" uri="{C3380CC4-5D6E-409C-BE32-E72D297353CC}">
                <c16:uniqueId val="{00000003-AB31-41AC-9AD5-1EC05E0ED7E0}"/>
              </c:ext>
            </c:extLst>
          </c:dPt>
          <c:cat>
            <c:strRef>
              <c:f>'pivot table'!$A$4:$A$6</c:f>
              <c:strCache>
                <c:ptCount val="2"/>
                <c:pt idx="0">
                  <c:v>Male</c:v>
                </c:pt>
                <c:pt idx="1">
                  <c:v>Female</c:v>
                </c:pt>
              </c:strCache>
            </c:strRef>
          </c:cat>
          <c:val>
            <c:numRef>
              <c:f>'pivot table'!$B$4:$B$6</c:f>
              <c:numCache>
                <c:formatCode>0%</c:formatCode>
                <c:ptCount val="2"/>
                <c:pt idx="0">
                  <c:v>0.48</c:v>
                </c:pt>
                <c:pt idx="1">
                  <c:v>0.52</c:v>
                </c:pt>
              </c:numCache>
            </c:numRef>
          </c:val>
          <c:extLst>
            <c:ext xmlns:c16="http://schemas.microsoft.com/office/drawing/2014/chart" uri="{C3380CC4-5D6E-409C-BE32-E72D297353CC}">
              <c16:uniqueId val="{00000004-AB31-41AC-9AD5-1EC05E0ED7E0}"/>
            </c:ext>
          </c:extLst>
        </c:ser>
        <c:dLbls>
          <c:showLegendKey val="0"/>
          <c:showVal val="0"/>
          <c:showCatName val="0"/>
          <c:showSerName val="0"/>
          <c:showPercent val="0"/>
          <c:showBubbleSize val="0"/>
          <c:showLeaderLines val="1"/>
        </c:dLbls>
        <c:firstSliceAng val="0"/>
        <c:holeSize val="7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85A48"/>
          </a:solidFill>
          <a:ln>
            <a:noFill/>
          </a:ln>
          <a:effectLst/>
        </c:spPr>
      </c:pivotFmt>
      <c:pivotFmt>
        <c:idx val="4"/>
        <c:spPr>
          <a:solidFill>
            <a:schemeClr val="bg1">
              <a:lumMod val="50000"/>
            </a:schemeClr>
          </a:solidFill>
          <a:ln>
            <a:noFill/>
          </a:ln>
          <a:effectLst/>
        </c:spPr>
      </c:pivotFmt>
      <c:pivotFmt>
        <c:idx val="5"/>
        <c:spPr>
          <a:solidFill>
            <a:srgbClr val="4C5C2D"/>
          </a:solidFill>
          <a:ln>
            <a:noFill/>
          </a:ln>
          <a:effectLst/>
        </c:spPr>
      </c:pivotFmt>
      <c:pivotFmt>
        <c:idx val="6"/>
        <c:spPr>
          <a:solidFill>
            <a:schemeClr val="bg1">
              <a:lumMod val="85000"/>
            </a:schemeClr>
          </a:solidFill>
          <a:ln>
            <a:noFill/>
          </a:ln>
          <a:effectLst/>
        </c:spPr>
      </c:pivotFmt>
      <c:pivotFmt>
        <c:idx val="7"/>
        <c:spPr>
          <a:solidFill>
            <a:srgbClr val="E5B244"/>
          </a:solidFill>
          <a:ln>
            <a:noFill/>
          </a:ln>
          <a:effectLst/>
        </c:spPr>
      </c:pivotFmt>
    </c:pivotFmts>
    <c:plotArea>
      <c:layout>
        <c:manualLayout>
          <c:layoutTarget val="inner"/>
          <c:xMode val="edge"/>
          <c:yMode val="edge"/>
          <c:x val="1.7637560018900756E-2"/>
          <c:y val="0.10744189194415439"/>
          <c:w val="0.95662378855486752"/>
          <c:h val="0.80813947867115288"/>
        </c:manualLayout>
      </c:layout>
      <c:barChart>
        <c:barDir val="col"/>
        <c:grouping val="clustered"/>
        <c:varyColors val="0"/>
        <c:ser>
          <c:idx val="0"/>
          <c:order val="0"/>
          <c:tx>
            <c:strRef>
              <c:f>'pivot table'!$J$18</c:f>
              <c:strCache>
                <c:ptCount val="1"/>
                <c:pt idx="0">
                  <c:v>Total</c:v>
                </c:pt>
              </c:strCache>
            </c:strRef>
          </c:tx>
          <c:spPr>
            <a:solidFill>
              <a:schemeClr val="accent1"/>
            </a:solidFill>
            <a:ln>
              <a:noFill/>
            </a:ln>
            <a:effectLst/>
          </c:spPr>
          <c:invertIfNegative val="0"/>
          <c:dPt>
            <c:idx val="0"/>
            <c:invertIfNegative val="0"/>
            <c:bubble3D val="0"/>
            <c:spPr>
              <a:solidFill>
                <a:srgbClr val="285A48"/>
              </a:solidFill>
              <a:ln>
                <a:noFill/>
              </a:ln>
              <a:effectLst/>
            </c:spPr>
            <c:extLst>
              <c:ext xmlns:c16="http://schemas.microsoft.com/office/drawing/2014/chart" uri="{C3380CC4-5D6E-409C-BE32-E72D297353CC}">
                <c16:uniqueId val="{00000001-649C-42A4-97AF-94D9A568A5F7}"/>
              </c:ext>
            </c:extLst>
          </c:dPt>
          <c:dPt>
            <c:idx val="1"/>
            <c:invertIfNegative val="0"/>
            <c:bubble3D val="0"/>
            <c:spPr>
              <a:solidFill>
                <a:schemeClr val="bg1">
                  <a:lumMod val="50000"/>
                </a:schemeClr>
              </a:solidFill>
              <a:ln>
                <a:noFill/>
              </a:ln>
              <a:effectLst/>
            </c:spPr>
            <c:extLst>
              <c:ext xmlns:c16="http://schemas.microsoft.com/office/drawing/2014/chart" uri="{C3380CC4-5D6E-409C-BE32-E72D297353CC}">
                <c16:uniqueId val="{00000002-649C-42A4-97AF-94D9A568A5F7}"/>
              </c:ext>
            </c:extLst>
          </c:dPt>
          <c:dPt>
            <c:idx val="2"/>
            <c:invertIfNegative val="0"/>
            <c:bubble3D val="0"/>
            <c:spPr>
              <a:solidFill>
                <a:srgbClr val="4C5C2D"/>
              </a:solidFill>
              <a:ln>
                <a:noFill/>
              </a:ln>
              <a:effectLst/>
            </c:spPr>
            <c:extLst>
              <c:ext xmlns:c16="http://schemas.microsoft.com/office/drawing/2014/chart" uri="{C3380CC4-5D6E-409C-BE32-E72D297353CC}">
                <c16:uniqueId val="{00000003-649C-42A4-97AF-94D9A568A5F7}"/>
              </c:ext>
            </c:extLst>
          </c:dPt>
          <c:dPt>
            <c:idx val="3"/>
            <c:invertIfNegative val="0"/>
            <c:bubble3D val="0"/>
            <c:spPr>
              <a:solidFill>
                <a:schemeClr val="bg1">
                  <a:lumMod val="85000"/>
                </a:schemeClr>
              </a:solidFill>
              <a:ln>
                <a:noFill/>
              </a:ln>
              <a:effectLst/>
            </c:spPr>
            <c:extLst>
              <c:ext xmlns:c16="http://schemas.microsoft.com/office/drawing/2014/chart" uri="{C3380CC4-5D6E-409C-BE32-E72D297353CC}">
                <c16:uniqueId val="{00000004-649C-42A4-97AF-94D9A568A5F7}"/>
              </c:ext>
            </c:extLst>
          </c:dPt>
          <c:dPt>
            <c:idx val="4"/>
            <c:invertIfNegative val="0"/>
            <c:bubble3D val="0"/>
            <c:spPr>
              <a:solidFill>
                <a:srgbClr val="E5B244"/>
              </a:solidFill>
              <a:ln>
                <a:noFill/>
              </a:ln>
              <a:effectLst/>
            </c:spPr>
            <c:extLst>
              <c:ext xmlns:c16="http://schemas.microsoft.com/office/drawing/2014/chart" uri="{C3380CC4-5D6E-409C-BE32-E72D297353CC}">
                <c16:uniqueId val="{00000005-649C-42A4-97AF-94D9A568A5F7}"/>
              </c:ext>
            </c:extLst>
          </c:dPt>
          <c:dLbls>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table'!$I$19:$I$24</c:f>
              <c:strCache>
                <c:ptCount val="5"/>
                <c:pt idx="0">
                  <c:v>Analyst</c:v>
                </c:pt>
                <c:pt idx="1">
                  <c:v>Designer</c:v>
                </c:pt>
                <c:pt idx="2">
                  <c:v>Developer</c:v>
                </c:pt>
                <c:pt idx="3">
                  <c:v>HR Specialist</c:v>
                </c:pt>
                <c:pt idx="4">
                  <c:v>Manager</c:v>
                </c:pt>
              </c:strCache>
            </c:strRef>
          </c:cat>
          <c:val>
            <c:numRef>
              <c:f>'pivot table'!$J$19:$J$24</c:f>
              <c:numCache>
                <c:formatCode>General</c:formatCode>
                <c:ptCount val="5"/>
                <c:pt idx="0">
                  <c:v>28</c:v>
                </c:pt>
                <c:pt idx="1">
                  <c:v>110</c:v>
                </c:pt>
                <c:pt idx="2">
                  <c:v>104</c:v>
                </c:pt>
                <c:pt idx="3">
                  <c:v>123</c:v>
                </c:pt>
                <c:pt idx="4">
                  <c:v>122</c:v>
                </c:pt>
              </c:numCache>
            </c:numRef>
          </c:val>
          <c:extLst>
            <c:ext xmlns:c16="http://schemas.microsoft.com/office/drawing/2014/chart" uri="{C3380CC4-5D6E-409C-BE32-E72D297353CC}">
              <c16:uniqueId val="{00000000-649C-42A4-97AF-94D9A568A5F7}"/>
            </c:ext>
          </c:extLst>
        </c:ser>
        <c:dLbls>
          <c:dLblPos val="outEnd"/>
          <c:showLegendKey val="0"/>
          <c:showVal val="1"/>
          <c:showCatName val="0"/>
          <c:showSerName val="0"/>
          <c:showPercent val="0"/>
          <c:showBubbleSize val="0"/>
        </c:dLbls>
        <c:gapWidth val="76"/>
        <c:overlap val="100"/>
        <c:axId val="744689936"/>
        <c:axId val="744683216"/>
      </c:barChart>
      <c:catAx>
        <c:axId val="744689936"/>
        <c:scaling>
          <c:orientation val="minMax"/>
        </c:scaling>
        <c:delete val="1"/>
        <c:axPos val="b"/>
        <c:numFmt formatCode="General" sourceLinked="1"/>
        <c:majorTickMark val="none"/>
        <c:minorTickMark val="none"/>
        <c:tickLblPos val="nextTo"/>
        <c:crossAx val="744683216"/>
        <c:crosses val="autoZero"/>
        <c:auto val="1"/>
        <c:lblAlgn val="ctr"/>
        <c:lblOffset val="100"/>
        <c:noMultiLvlLbl val="0"/>
      </c:catAx>
      <c:valAx>
        <c:axId val="744683216"/>
        <c:scaling>
          <c:orientation val="minMax"/>
        </c:scaling>
        <c:delete val="1"/>
        <c:axPos val="l"/>
        <c:numFmt formatCode="General" sourceLinked="1"/>
        <c:majorTickMark val="none"/>
        <c:minorTickMark val="none"/>
        <c:tickLblPos val="nextTo"/>
        <c:crossAx val="74468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table!PivotTable13</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table'!$B$62</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table'!$A$63:$A$68</c:f>
              <c:strCache>
                <c:ptCount val="5"/>
                <c:pt idx="0">
                  <c:v>Central</c:v>
                </c:pt>
                <c:pt idx="1">
                  <c:v>East</c:v>
                </c:pt>
                <c:pt idx="2">
                  <c:v>North</c:v>
                </c:pt>
                <c:pt idx="3">
                  <c:v>South</c:v>
                </c:pt>
                <c:pt idx="4">
                  <c:v>West</c:v>
                </c:pt>
              </c:strCache>
            </c:strRef>
          </c:cat>
          <c:val>
            <c:numRef>
              <c:f>'pivot table'!$B$63:$B$68</c:f>
              <c:numCache>
                <c:formatCode>General</c:formatCode>
                <c:ptCount val="5"/>
                <c:pt idx="0">
                  <c:v>14</c:v>
                </c:pt>
                <c:pt idx="1">
                  <c:v>10</c:v>
                </c:pt>
                <c:pt idx="2">
                  <c:v>7</c:v>
                </c:pt>
                <c:pt idx="3">
                  <c:v>10</c:v>
                </c:pt>
                <c:pt idx="4">
                  <c:v>9</c:v>
                </c:pt>
              </c:numCache>
            </c:numRef>
          </c:val>
          <c:extLst>
            <c:ext xmlns:c16="http://schemas.microsoft.com/office/drawing/2014/chart" uri="{C3380CC4-5D6E-409C-BE32-E72D297353CC}">
              <c16:uniqueId val="{00000000-5998-4490-98F6-6A6E1FE842EA}"/>
            </c:ext>
          </c:extLst>
        </c:ser>
        <c:dLbls>
          <c:dLblPos val="outEnd"/>
          <c:showLegendKey val="0"/>
          <c:showVal val="1"/>
          <c:showCatName val="0"/>
          <c:showSerName val="0"/>
          <c:showPercent val="0"/>
          <c:showBubbleSize val="0"/>
        </c:dLbls>
        <c:gapWidth val="49"/>
        <c:axId val="1070969488"/>
        <c:axId val="1070985328"/>
      </c:barChart>
      <c:catAx>
        <c:axId val="1070969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070985328"/>
        <c:crosses val="autoZero"/>
        <c:auto val="1"/>
        <c:lblAlgn val="ctr"/>
        <c:lblOffset val="100"/>
        <c:noMultiLvlLbl val="0"/>
      </c:catAx>
      <c:valAx>
        <c:axId val="1070985328"/>
        <c:scaling>
          <c:orientation val="minMax"/>
        </c:scaling>
        <c:delete val="1"/>
        <c:axPos val="b"/>
        <c:numFmt formatCode="General" sourceLinked="1"/>
        <c:majorTickMark val="none"/>
        <c:minorTickMark val="none"/>
        <c:tickLblPos val="nextTo"/>
        <c:crossAx val="1070969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table!PivotTable9</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5B244"/>
          </a:solidFill>
          <a:ln w="19050">
            <a:solidFill>
              <a:srgbClr val="FCBF49"/>
            </a:solidFill>
          </a:ln>
          <a:effectLst/>
        </c:spPr>
      </c:pivotFmt>
      <c:pivotFmt>
        <c:idx val="7"/>
        <c:spPr>
          <a:solidFill>
            <a:srgbClr val="2C3333"/>
          </a:solidFill>
          <a:ln w="19050">
            <a:solidFill>
              <a:schemeClr val="bg2">
                <a:lumMod val="25000"/>
              </a:schemeClr>
            </a:solidFill>
          </a:ln>
          <a:effectLst/>
        </c:spPr>
      </c:pivotFmt>
      <c:pivotFmt>
        <c:idx val="8"/>
        <c:spPr>
          <a:solidFill>
            <a:schemeClr val="bg2">
              <a:lumMod val="50000"/>
            </a:schemeClr>
          </a:solidFill>
          <a:ln w="19050">
            <a:solidFill>
              <a:schemeClr val="bg2">
                <a:lumMod val="50000"/>
              </a:schemeClr>
            </a:solidFill>
          </a:ln>
          <a:effectLst/>
        </c:spPr>
      </c:pivotFmt>
    </c:pivotFmts>
    <c:plotArea>
      <c:layout/>
      <c:pieChart>
        <c:varyColors val="1"/>
        <c:ser>
          <c:idx val="0"/>
          <c:order val="0"/>
          <c:tx>
            <c:strRef>
              <c:f>'pivot table'!$J$12</c:f>
              <c:strCache>
                <c:ptCount val="1"/>
                <c:pt idx="0">
                  <c:v>Total</c:v>
                </c:pt>
              </c:strCache>
            </c:strRef>
          </c:tx>
          <c:dPt>
            <c:idx val="0"/>
            <c:bubble3D val="0"/>
            <c:spPr>
              <a:solidFill>
                <a:srgbClr val="E5B244"/>
              </a:solidFill>
              <a:ln w="19050">
                <a:solidFill>
                  <a:srgbClr val="FCBF49"/>
                </a:solidFill>
              </a:ln>
              <a:effectLst/>
            </c:spPr>
            <c:extLst>
              <c:ext xmlns:c16="http://schemas.microsoft.com/office/drawing/2014/chart" uri="{C3380CC4-5D6E-409C-BE32-E72D297353CC}">
                <c16:uniqueId val="{00000001-01C7-4F79-9031-AF9A9BA656E3}"/>
              </c:ext>
            </c:extLst>
          </c:dPt>
          <c:dPt>
            <c:idx val="1"/>
            <c:bubble3D val="0"/>
            <c:spPr>
              <a:solidFill>
                <a:srgbClr val="2C3333"/>
              </a:solidFill>
              <a:ln w="19050">
                <a:solidFill>
                  <a:schemeClr val="bg2">
                    <a:lumMod val="25000"/>
                  </a:schemeClr>
                </a:solidFill>
              </a:ln>
              <a:effectLst/>
            </c:spPr>
            <c:extLst>
              <c:ext xmlns:c16="http://schemas.microsoft.com/office/drawing/2014/chart" uri="{C3380CC4-5D6E-409C-BE32-E72D297353CC}">
                <c16:uniqueId val="{00000003-01C7-4F79-9031-AF9A9BA656E3}"/>
              </c:ext>
            </c:extLst>
          </c:dPt>
          <c:dPt>
            <c:idx val="2"/>
            <c:bubble3D val="0"/>
            <c:spPr>
              <a:solidFill>
                <a:schemeClr val="bg2">
                  <a:lumMod val="50000"/>
                </a:schemeClr>
              </a:solidFill>
              <a:ln w="19050">
                <a:solidFill>
                  <a:schemeClr val="bg2">
                    <a:lumMod val="50000"/>
                  </a:schemeClr>
                </a:solidFill>
              </a:ln>
              <a:effectLst/>
            </c:spPr>
            <c:extLst>
              <c:ext xmlns:c16="http://schemas.microsoft.com/office/drawing/2014/chart" uri="{C3380CC4-5D6E-409C-BE32-E72D297353CC}">
                <c16:uniqueId val="{00000005-01C7-4F79-9031-AF9A9BA656E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table'!$I$13:$I$16</c:f>
              <c:strCache>
                <c:ptCount val="3"/>
                <c:pt idx="0">
                  <c:v>Contract</c:v>
                </c:pt>
                <c:pt idx="1">
                  <c:v>Full-Time</c:v>
                </c:pt>
                <c:pt idx="2">
                  <c:v>Part-Time</c:v>
                </c:pt>
              </c:strCache>
            </c:strRef>
          </c:cat>
          <c:val>
            <c:numRef>
              <c:f>'pivot table'!$J$13:$J$16</c:f>
              <c:numCache>
                <c:formatCode>General</c:formatCode>
                <c:ptCount val="3"/>
                <c:pt idx="0">
                  <c:v>17</c:v>
                </c:pt>
                <c:pt idx="1">
                  <c:v>20</c:v>
                </c:pt>
                <c:pt idx="2">
                  <c:v>13</c:v>
                </c:pt>
              </c:numCache>
            </c:numRef>
          </c:val>
          <c:extLst>
            <c:ext xmlns:c16="http://schemas.microsoft.com/office/drawing/2014/chart" uri="{C3380CC4-5D6E-409C-BE32-E72D297353CC}">
              <c16:uniqueId val="{00000006-01C7-4F79-9031-AF9A9BA656E3}"/>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8.xml"/><Relationship Id="rId3" Type="http://schemas.openxmlformats.org/officeDocument/2006/relationships/chart" Target="../charts/chart1.xml"/><Relationship Id="rId7" Type="http://schemas.openxmlformats.org/officeDocument/2006/relationships/image" Target="../media/image4.png"/><Relationship Id="rId12" Type="http://schemas.openxmlformats.org/officeDocument/2006/relationships/chart" Target="../charts/chart7.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image" Target="../media/image3.svg"/><Relationship Id="rId10" Type="http://schemas.openxmlformats.org/officeDocument/2006/relationships/chart" Target="../charts/chart5.xml"/><Relationship Id="rId4" Type="http://schemas.openxmlformats.org/officeDocument/2006/relationships/image" Target="../media/image2.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533861</xdr:colOff>
      <xdr:row>0</xdr:row>
      <xdr:rowOff>7233</xdr:rowOff>
    </xdr:from>
    <xdr:to>
      <xdr:col>20</xdr:col>
      <xdr:colOff>23091</xdr:colOff>
      <xdr:row>32</xdr:row>
      <xdr:rowOff>138545</xdr:rowOff>
    </xdr:to>
    <xdr:sp macro="" textlink="">
      <xdr:nvSpPr>
        <xdr:cNvPr id="2" name="Rectangle 1">
          <a:extLst>
            <a:ext uri="{FF2B5EF4-FFF2-40B4-BE49-F238E27FC236}">
              <a16:creationId xmlns:a16="http://schemas.microsoft.com/office/drawing/2014/main" id="{D1564A54-778E-9C38-7F5C-A7635836B3F9}"/>
            </a:ext>
          </a:extLst>
        </xdr:cNvPr>
        <xdr:cNvSpPr/>
      </xdr:nvSpPr>
      <xdr:spPr>
        <a:xfrm>
          <a:off x="1749982" y="7233"/>
          <a:ext cx="10434321" cy="6042585"/>
        </a:xfrm>
        <a:prstGeom prst="rect">
          <a:avLst/>
        </a:prstGeom>
        <a:solidFill>
          <a:srgbClr val="171717"/>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85000"/>
                <a:lumOff val="15000"/>
              </a:schemeClr>
            </a:solidFill>
          </a:endParaRPr>
        </a:p>
      </xdr:txBody>
    </xdr:sp>
    <xdr:clientData/>
  </xdr:twoCellAnchor>
  <xdr:twoCellAnchor>
    <xdr:from>
      <xdr:col>8</xdr:col>
      <xdr:colOff>346363</xdr:colOff>
      <xdr:row>12</xdr:row>
      <xdr:rowOff>15393</xdr:rowOff>
    </xdr:from>
    <xdr:to>
      <xdr:col>10</xdr:col>
      <xdr:colOff>454122</xdr:colOff>
      <xdr:row>19</xdr:row>
      <xdr:rowOff>46179</xdr:rowOff>
    </xdr:to>
    <xdr:sp macro="" textlink="">
      <xdr:nvSpPr>
        <xdr:cNvPr id="54" name="Rectangle: Rounded Corners 53">
          <a:extLst>
            <a:ext uri="{FF2B5EF4-FFF2-40B4-BE49-F238E27FC236}">
              <a16:creationId xmlns:a16="http://schemas.microsoft.com/office/drawing/2014/main" id="{971EEA43-1A1B-4A11-81C9-7D3702E6930D}"/>
            </a:ext>
          </a:extLst>
        </xdr:cNvPr>
        <xdr:cNvSpPr/>
      </xdr:nvSpPr>
      <xdr:spPr>
        <a:xfrm>
          <a:off x="5210848" y="2232120"/>
          <a:ext cx="1323880" cy="1323877"/>
        </a:xfrm>
        <a:prstGeom prst="roundRect">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146241</xdr:colOff>
      <xdr:row>12</xdr:row>
      <xdr:rowOff>15393</xdr:rowOff>
    </xdr:from>
    <xdr:to>
      <xdr:col>8</xdr:col>
      <xdr:colOff>246303</xdr:colOff>
      <xdr:row>19</xdr:row>
      <xdr:rowOff>46179</xdr:rowOff>
    </xdr:to>
    <xdr:sp macro="" textlink="">
      <xdr:nvSpPr>
        <xdr:cNvPr id="50" name="Rectangle: Rounded Corners 49">
          <a:extLst>
            <a:ext uri="{FF2B5EF4-FFF2-40B4-BE49-F238E27FC236}">
              <a16:creationId xmlns:a16="http://schemas.microsoft.com/office/drawing/2014/main" id="{179E72B4-012A-4437-B78A-723509193287}"/>
            </a:ext>
          </a:extLst>
        </xdr:cNvPr>
        <xdr:cNvSpPr/>
      </xdr:nvSpPr>
      <xdr:spPr>
        <a:xfrm>
          <a:off x="3794605" y="2232120"/>
          <a:ext cx="1316183" cy="1323877"/>
        </a:xfrm>
        <a:prstGeom prst="roundRect">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15240</xdr:colOff>
      <xdr:row>0</xdr:row>
      <xdr:rowOff>45720</xdr:rowOff>
    </xdr:from>
    <xdr:to>
      <xdr:col>8</xdr:col>
      <xdr:colOff>297180</xdr:colOff>
      <xdr:row>5</xdr:row>
      <xdr:rowOff>7620</xdr:rowOff>
    </xdr:to>
    <xdr:sp macro="" textlink="">
      <xdr:nvSpPr>
        <xdr:cNvPr id="7" name="TextBox 6">
          <a:extLst>
            <a:ext uri="{FF2B5EF4-FFF2-40B4-BE49-F238E27FC236}">
              <a16:creationId xmlns:a16="http://schemas.microsoft.com/office/drawing/2014/main" id="{E3B5CD70-7CD1-2B65-A6D3-F9609750E765}"/>
            </a:ext>
          </a:extLst>
        </xdr:cNvPr>
        <xdr:cNvSpPr txBox="1"/>
      </xdr:nvSpPr>
      <xdr:spPr>
        <a:xfrm>
          <a:off x="2453640" y="45720"/>
          <a:ext cx="2720340" cy="876300"/>
        </a:xfrm>
        <a:prstGeom prst="rect">
          <a:avLst/>
        </a:prstGeom>
        <a:solidFill>
          <a:schemeClr val="bg2">
            <a:lumMod val="10000"/>
          </a:schemeClr>
        </a:solidFill>
        <a:ln w="9525" cmpd="sng">
          <a:solidFill>
            <a:schemeClr val="bg2">
              <a:lumMod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FCBF49"/>
              </a:solidFill>
            </a:rPr>
            <a:t>HR</a:t>
          </a:r>
        </a:p>
        <a:p>
          <a:r>
            <a:rPr lang="en-US" sz="1400" b="1">
              <a:solidFill>
                <a:srgbClr val="FCBF49"/>
              </a:solidFill>
            </a:rPr>
            <a:t>DashBoard</a:t>
          </a:r>
          <a:endParaRPr lang="en-US" sz="1400" b="1">
            <a:solidFill>
              <a:schemeClr val="tx1">
                <a:lumMod val="85000"/>
                <a:lumOff val="15000"/>
              </a:schemeClr>
            </a:solidFill>
          </a:endParaRPr>
        </a:p>
        <a:p>
          <a:r>
            <a:rPr lang="en-US" sz="1100" b="0">
              <a:solidFill>
                <a:schemeClr val="bg1"/>
              </a:solidFill>
            </a:rPr>
            <a:t>Analyze and Moniter HR</a:t>
          </a:r>
          <a:r>
            <a:rPr lang="en-US" sz="1100" b="0" baseline="0">
              <a:solidFill>
                <a:schemeClr val="bg1"/>
              </a:solidFill>
            </a:rPr>
            <a:t> </a:t>
          </a:r>
          <a:r>
            <a:rPr lang="en-US" sz="1100" b="0">
              <a:solidFill>
                <a:schemeClr val="bg1"/>
              </a:solidFill>
            </a:rPr>
            <a:t>Department</a:t>
          </a:r>
        </a:p>
      </xdr:txBody>
    </xdr:sp>
    <xdr:clientData/>
  </xdr:twoCellAnchor>
  <xdr:twoCellAnchor>
    <xdr:from>
      <xdr:col>2</xdr:col>
      <xdr:colOff>601980</xdr:colOff>
      <xdr:row>4</xdr:row>
      <xdr:rowOff>167640</xdr:rowOff>
    </xdr:from>
    <xdr:to>
      <xdr:col>6</xdr:col>
      <xdr:colOff>22860</xdr:colOff>
      <xdr:row>20</xdr:row>
      <xdr:rowOff>0</xdr:rowOff>
    </xdr:to>
    <xdr:sp macro="" textlink="">
      <xdr:nvSpPr>
        <xdr:cNvPr id="8" name="Rectangle: Rounded Corners 7">
          <a:extLst>
            <a:ext uri="{FF2B5EF4-FFF2-40B4-BE49-F238E27FC236}">
              <a16:creationId xmlns:a16="http://schemas.microsoft.com/office/drawing/2014/main" id="{71D0C2AB-C440-4F0D-0369-323396E42AF7}"/>
            </a:ext>
          </a:extLst>
        </xdr:cNvPr>
        <xdr:cNvSpPr/>
      </xdr:nvSpPr>
      <xdr:spPr>
        <a:xfrm>
          <a:off x="1818101" y="906549"/>
          <a:ext cx="1853123" cy="2787996"/>
        </a:xfrm>
        <a:prstGeom prst="roundRect">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b="1">
              <a:solidFill>
                <a:srgbClr val="FCBF49"/>
              </a:solidFill>
              <a:latin typeface="+mn-lt"/>
              <a:ea typeface="+mn-ea"/>
              <a:cs typeface="+mn-cs"/>
            </a:rPr>
            <a:t>Skills</a:t>
          </a:r>
        </a:p>
        <a:p>
          <a:pPr algn="l"/>
          <a:r>
            <a:rPr lang="en-US" sz="1400">
              <a:solidFill>
                <a:srgbClr val="FCBF49"/>
              </a:solidFill>
            </a:rPr>
            <a:t>  </a:t>
          </a:r>
          <a:r>
            <a:rPr lang="en-US" sz="1400" b="1">
              <a:solidFill>
                <a:srgbClr val="FCBF49"/>
              </a:solidFill>
              <a:latin typeface="+mn-lt"/>
              <a:ea typeface="+mn-ea"/>
              <a:cs typeface="+mn-cs"/>
            </a:rPr>
            <a:t>BreakDown</a:t>
          </a:r>
        </a:p>
        <a:p>
          <a:pPr algn="l"/>
          <a:endParaRPr lang="en-US" sz="1100" b="0" i="0" u="none" strike="noStrike">
            <a:solidFill>
              <a:schemeClr val="lt1"/>
            </a:solidFill>
            <a:effectLst/>
            <a:latin typeface="+mn-lt"/>
            <a:ea typeface="+mn-ea"/>
            <a:cs typeface="+mn-cs"/>
          </a:endParaRPr>
        </a:p>
        <a:p>
          <a:pPr algn="l"/>
          <a:r>
            <a:rPr lang="en-US" sz="1100" b="0" i="0" u="none" strike="noStrike">
              <a:solidFill>
                <a:schemeClr val="lt1"/>
              </a:solidFill>
              <a:effectLst/>
              <a:latin typeface="+mn-lt"/>
              <a:ea typeface="+mn-ea"/>
              <a:cs typeface="+mn-cs"/>
            </a:rPr>
            <a:t> </a:t>
          </a:r>
          <a:r>
            <a:rPr lang="en-US" sz="1100" b="1" i="0" u="none" strike="noStrike">
              <a:solidFill>
                <a:schemeClr val="lt1"/>
              </a:solidFill>
              <a:effectLst/>
              <a:latin typeface="+mn-lt"/>
              <a:ea typeface="+mn-ea"/>
              <a:cs typeface="+mn-cs"/>
            </a:rPr>
            <a:t>Communication            </a:t>
          </a:r>
        </a:p>
        <a:p>
          <a:pPr algn="l"/>
          <a:endParaRPr lang="en-US" sz="1100" b="0" i="0" u="none" strike="noStrike">
            <a:solidFill>
              <a:schemeClr val="lt1"/>
            </a:solidFill>
            <a:effectLst/>
            <a:latin typeface="+mn-lt"/>
            <a:ea typeface="+mn-ea"/>
            <a:cs typeface="+mn-cs"/>
          </a:endParaRPr>
        </a:p>
        <a:p>
          <a:pPr algn="l"/>
          <a:r>
            <a:rPr lang="en-US" sz="1400">
              <a:effectLst/>
            </a:rPr>
            <a:t> </a:t>
          </a:r>
          <a:r>
            <a:rPr lang="en-US" sz="1100" b="1" i="0" u="none" strike="noStrike">
              <a:solidFill>
                <a:schemeClr val="lt1"/>
              </a:solidFill>
              <a:effectLst/>
              <a:latin typeface="+mn-lt"/>
              <a:ea typeface="+mn-ea"/>
              <a:cs typeface="+mn-cs"/>
            </a:rPr>
            <a:t>Design</a:t>
          </a:r>
        </a:p>
        <a:p>
          <a:pPr algn="l"/>
          <a:r>
            <a:rPr lang="en-US" sz="1400">
              <a:effectLst/>
            </a:rPr>
            <a:t> </a:t>
          </a:r>
        </a:p>
        <a:p>
          <a:pPr algn="l"/>
          <a:r>
            <a:rPr lang="en-US" sz="1400" b="0" i="0" u="none" strike="noStrike">
              <a:solidFill>
                <a:schemeClr val="lt1"/>
              </a:solidFill>
              <a:effectLst/>
              <a:latin typeface="+mn-lt"/>
              <a:ea typeface="+mn-ea"/>
              <a:cs typeface="+mn-cs"/>
            </a:rPr>
            <a:t>  </a:t>
          </a:r>
          <a:r>
            <a:rPr lang="en-US" sz="1100" b="1" i="0" u="none" strike="noStrike">
              <a:solidFill>
                <a:schemeClr val="lt1"/>
              </a:solidFill>
              <a:effectLst/>
              <a:latin typeface="+mn-lt"/>
              <a:ea typeface="+mn-ea"/>
              <a:cs typeface="+mn-cs"/>
            </a:rPr>
            <a:t>Excel</a:t>
          </a:r>
        </a:p>
        <a:p>
          <a:pPr algn="l"/>
          <a:endParaRPr lang="en-US" sz="1100" b="0" i="0" u="none" strike="noStrike">
            <a:solidFill>
              <a:schemeClr val="lt1"/>
            </a:solidFill>
            <a:effectLst/>
            <a:latin typeface="+mn-lt"/>
            <a:ea typeface="+mn-ea"/>
            <a:cs typeface="+mn-cs"/>
          </a:endParaRPr>
        </a:p>
        <a:p>
          <a:pPr algn="l"/>
          <a:r>
            <a:rPr lang="en-US" sz="1400">
              <a:effectLst/>
            </a:rPr>
            <a:t>  </a:t>
          </a:r>
          <a:r>
            <a:rPr lang="en-US" sz="1100" b="1" i="0" u="none" strike="noStrike">
              <a:solidFill>
                <a:schemeClr val="lt1"/>
              </a:solidFill>
              <a:effectLst/>
              <a:latin typeface="+mn-lt"/>
              <a:ea typeface="+mn-ea"/>
              <a:cs typeface="+mn-cs"/>
            </a:rPr>
            <a:t>Management</a:t>
          </a:r>
        </a:p>
        <a:p>
          <a:pPr algn="l"/>
          <a:endParaRPr lang="en-US" sz="1100" b="0" i="0" u="none" strike="noStrike">
            <a:solidFill>
              <a:schemeClr val="lt1"/>
            </a:solidFill>
            <a:effectLst/>
            <a:latin typeface="+mn-lt"/>
            <a:ea typeface="+mn-ea"/>
            <a:cs typeface="+mn-cs"/>
          </a:endParaRPr>
        </a:p>
        <a:p>
          <a:pPr algn="l"/>
          <a:r>
            <a:rPr lang="en-US" sz="1400">
              <a:effectLst/>
            </a:rPr>
            <a:t>  </a:t>
          </a:r>
          <a:r>
            <a:rPr lang="en-US" sz="1100" b="1" i="0" u="none" strike="noStrike">
              <a:solidFill>
                <a:schemeClr val="lt1"/>
              </a:solidFill>
              <a:effectLst/>
              <a:latin typeface="+mn-lt"/>
              <a:ea typeface="+mn-ea"/>
              <a:cs typeface="+mn-cs"/>
            </a:rPr>
            <a:t>Python</a:t>
          </a:r>
          <a:r>
            <a:rPr lang="en-US" sz="1400">
              <a:effectLst/>
            </a:rPr>
            <a:t> </a:t>
          </a:r>
        </a:p>
        <a:p>
          <a:pPr algn="l"/>
          <a:endParaRPr lang="en-US" sz="1400">
            <a:solidFill>
              <a:srgbClr val="FCBF49"/>
            </a:solidFill>
            <a:effectLst/>
          </a:endParaRPr>
        </a:p>
        <a:p>
          <a:pPr algn="l"/>
          <a:endParaRPr lang="en-US" sz="1400">
            <a:solidFill>
              <a:srgbClr val="FCBF49"/>
            </a:solidFill>
          </a:endParaRPr>
        </a:p>
        <a:p>
          <a:pPr algn="l"/>
          <a:endParaRPr lang="en-US" sz="1400">
            <a:solidFill>
              <a:srgbClr val="FCBF49"/>
            </a:solidFill>
          </a:endParaRPr>
        </a:p>
        <a:p>
          <a:pPr algn="l"/>
          <a:endParaRPr lang="en-US" sz="1400">
            <a:solidFill>
              <a:srgbClr val="FCBF49"/>
            </a:solidFill>
          </a:endParaRPr>
        </a:p>
      </xdr:txBody>
    </xdr:sp>
    <xdr:clientData/>
  </xdr:twoCellAnchor>
  <xdr:twoCellAnchor>
    <xdr:from>
      <xdr:col>3</xdr:col>
      <xdr:colOff>99060</xdr:colOff>
      <xdr:row>5</xdr:row>
      <xdr:rowOff>160020</xdr:rowOff>
    </xdr:from>
    <xdr:to>
      <xdr:col>3</xdr:col>
      <xdr:colOff>144779</xdr:colOff>
      <xdr:row>7</xdr:row>
      <xdr:rowOff>114300</xdr:rowOff>
    </xdr:to>
    <xdr:sp macro="" textlink="">
      <xdr:nvSpPr>
        <xdr:cNvPr id="11" name="Rectangle: Rounded Corners 10">
          <a:extLst>
            <a:ext uri="{FF2B5EF4-FFF2-40B4-BE49-F238E27FC236}">
              <a16:creationId xmlns:a16="http://schemas.microsoft.com/office/drawing/2014/main" id="{6424E91F-B3B8-A692-4180-4212599C0E0F}"/>
            </a:ext>
          </a:extLst>
        </xdr:cNvPr>
        <xdr:cNvSpPr/>
      </xdr:nvSpPr>
      <xdr:spPr>
        <a:xfrm>
          <a:off x="1927860" y="1074420"/>
          <a:ext cx="45719" cy="320040"/>
        </a:xfrm>
        <a:prstGeom prst="roundRect">
          <a:avLst/>
        </a:prstGeom>
        <a:solidFill>
          <a:schemeClr val="tx1">
            <a:lumMod val="65000"/>
            <a:lumOff val="35000"/>
          </a:schemeClr>
        </a:solidFill>
        <a:ln>
          <a:solidFill>
            <a:schemeClr val="tx1">
              <a:lumMod val="85000"/>
              <a:lumOff val="15000"/>
            </a:schemeClr>
          </a:solidFill>
        </a:ln>
        <a:effectLst>
          <a:glow rad="101600">
            <a:schemeClr val="bg2">
              <a:lumMod val="25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7620</xdr:colOff>
      <xdr:row>9</xdr:row>
      <xdr:rowOff>7620</xdr:rowOff>
    </xdr:from>
    <xdr:to>
      <xdr:col>3</xdr:col>
      <xdr:colOff>152400</xdr:colOff>
      <xdr:row>9</xdr:row>
      <xdr:rowOff>152400</xdr:rowOff>
    </xdr:to>
    <xdr:sp macro="" textlink="">
      <xdr:nvSpPr>
        <xdr:cNvPr id="13" name="Oval 12">
          <a:extLst>
            <a:ext uri="{FF2B5EF4-FFF2-40B4-BE49-F238E27FC236}">
              <a16:creationId xmlns:a16="http://schemas.microsoft.com/office/drawing/2014/main" id="{681ADDE0-CDCA-ED77-4715-EA10C1F68989}"/>
            </a:ext>
          </a:extLst>
        </xdr:cNvPr>
        <xdr:cNvSpPr/>
      </xdr:nvSpPr>
      <xdr:spPr>
        <a:xfrm>
          <a:off x="1836420" y="1653540"/>
          <a:ext cx="144780" cy="144780"/>
        </a:xfrm>
        <a:prstGeom prst="ellipse">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15240</xdr:colOff>
      <xdr:row>11</xdr:row>
      <xdr:rowOff>15240</xdr:rowOff>
    </xdr:from>
    <xdr:to>
      <xdr:col>3</xdr:col>
      <xdr:colOff>160020</xdr:colOff>
      <xdr:row>11</xdr:row>
      <xdr:rowOff>160020</xdr:rowOff>
    </xdr:to>
    <xdr:sp macro="" textlink="">
      <xdr:nvSpPr>
        <xdr:cNvPr id="14" name="Oval 13">
          <a:extLst>
            <a:ext uri="{FF2B5EF4-FFF2-40B4-BE49-F238E27FC236}">
              <a16:creationId xmlns:a16="http://schemas.microsoft.com/office/drawing/2014/main" id="{6D9BA79D-97D6-4AEE-B384-110F6DD523EE}"/>
            </a:ext>
          </a:extLst>
        </xdr:cNvPr>
        <xdr:cNvSpPr/>
      </xdr:nvSpPr>
      <xdr:spPr>
        <a:xfrm>
          <a:off x="1844040" y="2026920"/>
          <a:ext cx="144780" cy="144780"/>
        </a:xfrm>
        <a:prstGeom prst="ellipse">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15240</xdr:colOff>
      <xdr:row>13</xdr:row>
      <xdr:rowOff>76200</xdr:rowOff>
    </xdr:from>
    <xdr:to>
      <xdr:col>3</xdr:col>
      <xdr:colOff>160020</xdr:colOff>
      <xdr:row>14</xdr:row>
      <xdr:rowOff>38100</xdr:rowOff>
    </xdr:to>
    <xdr:sp macro="" textlink="">
      <xdr:nvSpPr>
        <xdr:cNvPr id="15" name="Oval 14">
          <a:extLst>
            <a:ext uri="{FF2B5EF4-FFF2-40B4-BE49-F238E27FC236}">
              <a16:creationId xmlns:a16="http://schemas.microsoft.com/office/drawing/2014/main" id="{59DB9289-8947-4CC3-8E2C-0C0000E0A7DC}"/>
            </a:ext>
          </a:extLst>
        </xdr:cNvPr>
        <xdr:cNvSpPr/>
      </xdr:nvSpPr>
      <xdr:spPr>
        <a:xfrm>
          <a:off x="1844040" y="2453640"/>
          <a:ext cx="144780" cy="144780"/>
        </a:xfrm>
        <a:prstGeom prst="ellipse">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22860</xdr:colOff>
      <xdr:row>15</xdr:row>
      <xdr:rowOff>106680</xdr:rowOff>
    </xdr:from>
    <xdr:to>
      <xdr:col>3</xdr:col>
      <xdr:colOff>167640</xdr:colOff>
      <xdr:row>16</xdr:row>
      <xdr:rowOff>68580</xdr:rowOff>
    </xdr:to>
    <xdr:sp macro="" textlink="">
      <xdr:nvSpPr>
        <xdr:cNvPr id="16" name="Oval 15">
          <a:extLst>
            <a:ext uri="{FF2B5EF4-FFF2-40B4-BE49-F238E27FC236}">
              <a16:creationId xmlns:a16="http://schemas.microsoft.com/office/drawing/2014/main" id="{D0FB2F4F-0A88-47DA-AFC6-1034AB56CBF2}"/>
            </a:ext>
          </a:extLst>
        </xdr:cNvPr>
        <xdr:cNvSpPr/>
      </xdr:nvSpPr>
      <xdr:spPr>
        <a:xfrm>
          <a:off x="1851660" y="2849880"/>
          <a:ext cx="144780" cy="144780"/>
        </a:xfrm>
        <a:prstGeom prst="ellipse">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160020</xdr:colOff>
      <xdr:row>10</xdr:row>
      <xdr:rowOff>129540</xdr:rowOff>
    </xdr:from>
    <xdr:to>
      <xdr:col>5</xdr:col>
      <xdr:colOff>579120</xdr:colOff>
      <xdr:row>12</xdr:row>
      <xdr:rowOff>38100</xdr:rowOff>
    </xdr:to>
    <xdr:sp macro="" textlink="'pivot table'!F14">
      <xdr:nvSpPr>
        <xdr:cNvPr id="21" name="TextBox 20">
          <a:extLst>
            <a:ext uri="{FF2B5EF4-FFF2-40B4-BE49-F238E27FC236}">
              <a16:creationId xmlns:a16="http://schemas.microsoft.com/office/drawing/2014/main" id="{349EC37E-C813-C583-2A04-540A4E6A2A20}"/>
            </a:ext>
          </a:extLst>
        </xdr:cNvPr>
        <xdr:cNvSpPr txBox="1"/>
      </xdr:nvSpPr>
      <xdr:spPr>
        <a:xfrm>
          <a:off x="3208020" y="1958340"/>
          <a:ext cx="419100" cy="274320"/>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8B00B47-F4BC-4A94-8BCF-45DC00E94A20}" type="TxLink">
            <a:rPr lang="en-US" sz="1100" b="0" i="0" u="none" strike="noStrike">
              <a:ln>
                <a:solidFill>
                  <a:srgbClr val="FCBF49"/>
                </a:solidFill>
              </a:ln>
              <a:solidFill>
                <a:srgbClr val="000000"/>
              </a:solidFill>
              <a:latin typeface="Aptos Narrow"/>
            </a:rPr>
            <a:pPr/>
            <a:t>11</a:t>
          </a:fld>
          <a:endParaRPr lang="en-US" sz="1100">
            <a:ln>
              <a:solidFill>
                <a:srgbClr val="FCBF49"/>
              </a:solidFill>
            </a:ln>
          </a:endParaRPr>
        </a:p>
      </xdr:txBody>
    </xdr:sp>
    <xdr:clientData/>
  </xdr:twoCellAnchor>
  <xdr:twoCellAnchor>
    <xdr:from>
      <xdr:col>5</xdr:col>
      <xdr:colOff>175260</xdr:colOff>
      <xdr:row>17</xdr:row>
      <xdr:rowOff>68580</xdr:rowOff>
    </xdr:from>
    <xdr:to>
      <xdr:col>5</xdr:col>
      <xdr:colOff>411480</xdr:colOff>
      <xdr:row>18</xdr:row>
      <xdr:rowOff>175260</xdr:rowOff>
    </xdr:to>
    <xdr:sp macro="" textlink="'pivot table'!F17">
      <xdr:nvSpPr>
        <xdr:cNvPr id="23" name="TextBox 22">
          <a:extLst>
            <a:ext uri="{FF2B5EF4-FFF2-40B4-BE49-F238E27FC236}">
              <a16:creationId xmlns:a16="http://schemas.microsoft.com/office/drawing/2014/main" id="{72B61314-AD55-6729-2BE9-850EBEB89CFE}"/>
            </a:ext>
          </a:extLst>
        </xdr:cNvPr>
        <xdr:cNvSpPr txBox="1"/>
      </xdr:nvSpPr>
      <xdr:spPr>
        <a:xfrm>
          <a:off x="3223260" y="3177540"/>
          <a:ext cx="236220" cy="289560"/>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A8EE2F-1B14-4A85-84CE-DB39A3BF790F}" type="TxLink">
            <a:rPr lang="en-US" sz="1100" b="0" i="0" u="none" strike="noStrike">
              <a:ln>
                <a:solidFill>
                  <a:srgbClr val="FCBF49"/>
                </a:solidFill>
              </a:ln>
              <a:solidFill>
                <a:srgbClr val="000000"/>
              </a:solidFill>
              <a:latin typeface="Aptos Narrow"/>
            </a:rPr>
            <a:pPr/>
            <a:t>9</a:t>
          </a:fld>
          <a:endParaRPr lang="en-US" sz="1100">
            <a:ln>
              <a:solidFill>
                <a:srgbClr val="FCBF49"/>
              </a:solidFill>
            </a:ln>
          </a:endParaRPr>
        </a:p>
      </xdr:txBody>
    </xdr:sp>
    <xdr:clientData/>
  </xdr:twoCellAnchor>
  <xdr:twoCellAnchor>
    <xdr:from>
      <xdr:col>5</xdr:col>
      <xdr:colOff>160020</xdr:colOff>
      <xdr:row>15</xdr:row>
      <xdr:rowOff>45720</xdr:rowOff>
    </xdr:from>
    <xdr:to>
      <xdr:col>5</xdr:col>
      <xdr:colOff>495300</xdr:colOff>
      <xdr:row>16</xdr:row>
      <xdr:rowOff>160020</xdr:rowOff>
    </xdr:to>
    <xdr:sp macro="" textlink="'pivot table'!F16">
      <xdr:nvSpPr>
        <xdr:cNvPr id="24" name="TextBox 23">
          <a:extLst>
            <a:ext uri="{FF2B5EF4-FFF2-40B4-BE49-F238E27FC236}">
              <a16:creationId xmlns:a16="http://schemas.microsoft.com/office/drawing/2014/main" id="{DCD52E31-7DEF-46D9-B44E-7C9E6F101041}"/>
            </a:ext>
          </a:extLst>
        </xdr:cNvPr>
        <xdr:cNvSpPr txBox="1"/>
      </xdr:nvSpPr>
      <xdr:spPr>
        <a:xfrm>
          <a:off x="3208020" y="2788920"/>
          <a:ext cx="335280" cy="297180"/>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C6C2C5E-A5A8-47DB-AB8E-4F9F2B0C9B83}" type="TxLink">
            <a:rPr lang="en-US" sz="1100" b="0" i="0" u="none" strike="noStrike">
              <a:ln>
                <a:solidFill>
                  <a:srgbClr val="FCBF49"/>
                </a:solidFill>
              </a:ln>
              <a:solidFill>
                <a:srgbClr val="000000"/>
              </a:solidFill>
              <a:latin typeface="Aptos Narrow"/>
            </a:rPr>
            <a:pPr/>
            <a:t>11</a:t>
          </a:fld>
          <a:endParaRPr lang="en-US" sz="1100">
            <a:ln>
              <a:solidFill>
                <a:srgbClr val="FCBF49"/>
              </a:solidFill>
            </a:ln>
          </a:endParaRPr>
        </a:p>
      </xdr:txBody>
    </xdr:sp>
    <xdr:clientData/>
  </xdr:twoCellAnchor>
  <xdr:twoCellAnchor>
    <xdr:from>
      <xdr:col>3</xdr:col>
      <xdr:colOff>30480</xdr:colOff>
      <xdr:row>17</xdr:row>
      <xdr:rowOff>137160</xdr:rowOff>
    </xdr:from>
    <xdr:to>
      <xdr:col>3</xdr:col>
      <xdr:colOff>175260</xdr:colOff>
      <xdr:row>18</xdr:row>
      <xdr:rowOff>99060</xdr:rowOff>
    </xdr:to>
    <xdr:sp macro="" textlink="">
      <xdr:nvSpPr>
        <xdr:cNvPr id="26" name="Oval 25">
          <a:extLst>
            <a:ext uri="{FF2B5EF4-FFF2-40B4-BE49-F238E27FC236}">
              <a16:creationId xmlns:a16="http://schemas.microsoft.com/office/drawing/2014/main" id="{7261264B-CAFF-4AC4-9B21-6247A23CE8AC}"/>
            </a:ext>
          </a:extLst>
        </xdr:cNvPr>
        <xdr:cNvSpPr/>
      </xdr:nvSpPr>
      <xdr:spPr>
        <a:xfrm>
          <a:off x="1859280" y="3246120"/>
          <a:ext cx="144780" cy="144780"/>
        </a:xfrm>
        <a:prstGeom prst="ellipse">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175260</xdr:colOff>
      <xdr:row>13</xdr:row>
      <xdr:rowOff>0</xdr:rowOff>
    </xdr:from>
    <xdr:to>
      <xdr:col>5</xdr:col>
      <xdr:colOff>396240</xdr:colOff>
      <xdr:row>14</xdr:row>
      <xdr:rowOff>60960</xdr:rowOff>
    </xdr:to>
    <xdr:sp macro="" textlink="'pivot table'!F15">
      <xdr:nvSpPr>
        <xdr:cNvPr id="27" name="TextBox 26">
          <a:extLst>
            <a:ext uri="{FF2B5EF4-FFF2-40B4-BE49-F238E27FC236}">
              <a16:creationId xmlns:a16="http://schemas.microsoft.com/office/drawing/2014/main" id="{57A3E9C0-85D0-F2F2-ECE8-5B07C752237D}"/>
            </a:ext>
          </a:extLst>
        </xdr:cNvPr>
        <xdr:cNvSpPr txBox="1"/>
      </xdr:nvSpPr>
      <xdr:spPr>
        <a:xfrm>
          <a:off x="3223260" y="2377440"/>
          <a:ext cx="220980" cy="243840"/>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19C79E3-989D-4E7E-853E-F109B01B53AC}" type="TxLink">
            <a:rPr lang="en-US" sz="1100" b="0" i="0" u="none" strike="noStrike">
              <a:ln>
                <a:solidFill>
                  <a:srgbClr val="FCBF49"/>
                </a:solidFill>
              </a:ln>
              <a:solidFill>
                <a:srgbClr val="000000"/>
              </a:solidFill>
              <a:latin typeface="Aptos Narrow"/>
            </a:rPr>
            <a:pPr/>
            <a:t>7</a:t>
          </a:fld>
          <a:endParaRPr lang="en-US" sz="1100">
            <a:ln>
              <a:solidFill>
                <a:srgbClr val="FCBF49"/>
              </a:solidFill>
            </a:ln>
          </a:endParaRPr>
        </a:p>
      </xdr:txBody>
    </xdr:sp>
    <xdr:clientData/>
  </xdr:twoCellAnchor>
  <xdr:twoCellAnchor editAs="oneCell">
    <xdr:from>
      <xdr:col>10</xdr:col>
      <xdr:colOff>403860</xdr:colOff>
      <xdr:row>0</xdr:row>
      <xdr:rowOff>45720</xdr:rowOff>
    </xdr:from>
    <xdr:to>
      <xdr:col>15</xdr:col>
      <xdr:colOff>207818</xdr:colOff>
      <xdr:row>5</xdr:row>
      <xdr:rowOff>100061</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B876DBE7-FE92-439E-8746-AA520D41634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499860" y="45720"/>
              <a:ext cx="2796540" cy="9843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449580</xdr:colOff>
      <xdr:row>0</xdr:row>
      <xdr:rowOff>60960</xdr:rowOff>
    </xdr:from>
    <xdr:to>
      <xdr:col>13</xdr:col>
      <xdr:colOff>76200</xdr:colOff>
      <xdr:row>1</xdr:row>
      <xdr:rowOff>144780</xdr:rowOff>
    </xdr:to>
    <xdr:sp macro="" textlink="">
      <xdr:nvSpPr>
        <xdr:cNvPr id="12" name="TextBox 11">
          <a:extLst>
            <a:ext uri="{FF2B5EF4-FFF2-40B4-BE49-F238E27FC236}">
              <a16:creationId xmlns:a16="http://schemas.microsoft.com/office/drawing/2014/main" id="{B6AA5886-38C7-240B-7474-E90403023DE4}"/>
            </a:ext>
          </a:extLst>
        </xdr:cNvPr>
        <xdr:cNvSpPr txBox="1"/>
      </xdr:nvSpPr>
      <xdr:spPr>
        <a:xfrm>
          <a:off x="6545580" y="60960"/>
          <a:ext cx="1455420" cy="266700"/>
        </a:xfrm>
        <a:prstGeom prst="rect">
          <a:avLst/>
        </a:prstGeom>
        <a:solidFill>
          <a:schemeClr val="bg2">
            <a:lumMod val="10000"/>
          </a:schemeClr>
        </a:solidFill>
        <a:ln w="9525" cmpd="sng">
          <a:solidFill>
            <a:schemeClr val="bg2">
              <a:lumMod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Filter by Department</a:t>
          </a:r>
        </a:p>
      </xdr:txBody>
    </xdr:sp>
    <xdr:clientData/>
  </xdr:twoCellAnchor>
  <xdr:twoCellAnchor>
    <xdr:from>
      <xdr:col>15</xdr:col>
      <xdr:colOff>480676</xdr:colOff>
      <xdr:row>0</xdr:row>
      <xdr:rowOff>121920</xdr:rowOff>
    </xdr:from>
    <xdr:to>
      <xdr:col>19</xdr:col>
      <xdr:colOff>484909</xdr:colOff>
      <xdr:row>7</xdr:row>
      <xdr:rowOff>114300</xdr:rowOff>
    </xdr:to>
    <xdr:sp macro="" textlink="">
      <xdr:nvSpPr>
        <xdr:cNvPr id="17" name="Rectangle: Rounded Corners 16">
          <a:extLst>
            <a:ext uri="{FF2B5EF4-FFF2-40B4-BE49-F238E27FC236}">
              <a16:creationId xmlns:a16="http://schemas.microsoft.com/office/drawing/2014/main" id="{CFE3E030-1DA2-E62E-AC6F-428AD5F37F9F}"/>
            </a:ext>
          </a:extLst>
        </xdr:cNvPr>
        <xdr:cNvSpPr/>
      </xdr:nvSpPr>
      <xdr:spPr>
        <a:xfrm>
          <a:off x="9601585" y="121920"/>
          <a:ext cx="2436476" cy="1285471"/>
        </a:xfrm>
        <a:prstGeom prst="roundRect">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b="1">
              <a:solidFill>
                <a:srgbClr val="FCBF49"/>
              </a:solidFill>
            </a:rPr>
            <a:t>Avg Performance Rating</a:t>
          </a:r>
          <a:endParaRPr lang="en-US" sz="1100" b="1">
            <a:solidFill>
              <a:srgbClr val="FCBF49"/>
            </a:solidFill>
          </a:endParaRPr>
        </a:p>
      </xdr:txBody>
    </xdr:sp>
    <xdr:clientData/>
  </xdr:twoCellAnchor>
  <xdr:twoCellAnchor>
    <xdr:from>
      <xdr:col>15</xdr:col>
      <xdr:colOff>541790</xdr:colOff>
      <xdr:row>1</xdr:row>
      <xdr:rowOff>83820</xdr:rowOff>
    </xdr:from>
    <xdr:to>
      <xdr:col>16</xdr:col>
      <xdr:colOff>76970</xdr:colOff>
      <xdr:row>2</xdr:row>
      <xdr:rowOff>45720</xdr:rowOff>
    </xdr:to>
    <xdr:sp macro="" textlink="">
      <xdr:nvSpPr>
        <xdr:cNvPr id="18" name="Oval 17">
          <a:extLst>
            <a:ext uri="{FF2B5EF4-FFF2-40B4-BE49-F238E27FC236}">
              <a16:creationId xmlns:a16="http://schemas.microsoft.com/office/drawing/2014/main" id="{83EC03A2-10FD-42DE-8DE6-B1E056D145D5}"/>
            </a:ext>
          </a:extLst>
        </xdr:cNvPr>
        <xdr:cNvSpPr/>
      </xdr:nvSpPr>
      <xdr:spPr>
        <a:xfrm>
          <a:off x="9662699" y="268547"/>
          <a:ext cx="143241" cy="146628"/>
        </a:xfrm>
        <a:prstGeom prst="ellipse">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381000</xdr:colOff>
      <xdr:row>61</xdr:row>
      <xdr:rowOff>38100</xdr:rowOff>
    </xdr:from>
    <xdr:to>
      <xdr:col>5</xdr:col>
      <xdr:colOff>388620</xdr:colOff>
      <xdr:row>64</xdr:row>
      <xdr:rowOff>68580</xdr:rowOff>
    </xdr:to>
    <xdr:sp macro="" textlink="'pivot table'!B29">
      <xdr:nvSpPr>
        <xdr:cNvPr id="19" name="TextBox 18">
          <a:extLst>
            <a:ext uri="{FF2B5EF4-FFF2-40B4-BE49-F238E27FC236}">
              <a16:creationId xmlns:a16="http://schemas.microsoft.com/office/drawing/2014/main" id="{17A3A5A0-DB3B-FF2E-B2B5-8EFAFDA7B785}"/>
            </a:ext>
          </a:extLst>
        </xdr:cNvPr>
        <xdr:cNvSpPr txBox="1"/>
      </xdr:nvSpPr>
      <xdr:spPr>
        <a:xfrm>
          <a:off x="2819400" y="11193780"/>
          <a:ext cx="617220" cy="5791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34D4CB-2036-420E-9951-80A3AE74A7E0}" type="TxLink">
            <a:rPr lang="en-US" sz="1100" b="0" i="0" u="none" strike="noStrike">
              <a:solidFill>
                <a:srgbClr val="000000"/>
              </a:solidFill>
              <a:latin typeface="Aptos Narrow"/>
            </a:rPr>
            <a:pPr/>
            <a:t>2.62</a:t>
          </a:fld>
          <a:endParaRPr lang="en-US" sz="1100"/>
        </a:p>
      </xdr:txBody>
    </xdr:sp>
    <xdr:clientData/>
  </xdr:twoCellAnchor>
  <xdr:twoCellAnchor>
    <xdr:from>
      <xdr:col>16</xdr:col>
      <xdr:colOff>106680</xdr:colOff>
      <xdr:row>3</xdr:row>
      <xdr:rowOff>22860</xdr:rowOff>
    </xdr:from>
    <xdr:to>
      <xdr:col>17</xdr:col>
      <xdr:colOff>312420</xdr:colOff>
      <xdr:row>6</xdr:row>
      <xdr:rowOff>91440</xdr:rowOff>
    </xdr:to>
    <xdr:sp macro="" textlink="'pivot table'!B29">
      <xdr:nvSpPr>
        <xdr:cNvPr id="22" name="TextBox 21">
          <a:extLst>
            <a:ext uri="{FF2B5EF4-FFF2-40B4-BE49-F238E27FC236}">
              <a16:creationId xmlns:a16="http://schemas.microsoft.com/office/drawing/2014/main" id="{CC3195B6-5CBB-2998-F4AF-44161DFFD5F4}"/>
            </a:ext>
          </a:extLst>
        </xdr:cNvPr>
        <xdr:cNvSpPr txBox="1"/>
      </xdr:nvSpPr>
      <xdr:spPr>
        <a:xfrm>
          <a:off x="9860280" y="571500"/>
          <a:ext cx="815340" cy="617220"/>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D9EF82-49D6-4BAC-8719-E9C2CCE1ECF6}" type="TxLink">
            <a:rPr lang="en-US" sz="3600" b="0" i="0" u="none" strike="noStrike">
              <a:solidFill>
                <a:srgbClr val="FFFFFF"/>
              </a:solidFill>
              <a:latin typeface="Aptos Narrow"/>
            </a:rPr>
            <a:pPr/>
            <a:t>2.62</a:t>
          </a:fld>
          <a:endParaRPr lang="en-US" sz="1100"/>
        </a:p>
      </xdr:txBody>
    </xdr:sp>
    <xdr:clientData/>
  </xdr:twoCellAnchor>
  <xdr:twoCellAnchor editAs="oneCell">
    <xdr:from>
      <xdr:col>12</xdr:col>
      <xdr:colOff>438728</xdr:colOff>
      <xdr:row>19</xdr:row>
      <xdr:rowOff>123151</xdr:rowOff>
    </xdr:from>
    <xdr:to>
      <xdr:col>28</xdr:col>
      <xdr:colOff>438728</xdr:colOff>
      <xdr:row>72</xdr:row>
      <xdr:rowOff>184111</xdr:rowOff>
    </xdr:to>
    <xdr:sp macro="" textlink="">
      <xdr:nvSpPr>
        <xdr:cNvPr id="1025" name="_r_9p_" descr="Generated image: Growth and progress icon">
          <a:extLst>
            <a:ext uri="{FF2B5EF4-FFF2-40B4-BE49-F238E27FC236}">
              <a16:creationId xmlns:a16="http://schemas.microsoft.com/office/drawing/2014/main" id="{14553849-F0ED-E425-D68E-16EA3F66DA3D}"/>
            </a:ext>
          </a:extLst>
        </xdr:cNvPr>
        <xdr:cNvSpPr>
          <a:spLocks noChangeAspect="1" noChangeArrowheads="1"/>
        </xdr:cNvSpPr>
      </xdr:nvSpPr>
      <xdr:spPr bwMode="auto">
        <a:xfrm>
          <a:off x="7735455" y="3632969"/>
          <a:ext cx="9728970" cy="985150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17</xdr:col>
      <xdr:colOff>496609</xdr:colOff>
      <xdr:row>2</xdr:row>
      <xdr:rowOff>121844</xdr:rowOff>
    </xdr:from>
    <xdr:to>
      <xdr:col>19</xdr:col>
      <xdr:colOff>384849</xdr:colOff>
      <xdr:row>7</xdr:row>
      <xdr:rowOff>38024</xdr:rowOff>
    </xdr:to>
    <xdr:pic>
      <xdr:nvPicPr>
        <xdr:cNvPr id="29" name="dimg_Z3CzabKrNeKtkdUPuvi6iAs_197" descr="Trend Up Chart Arrow Icon Vector File ...">
          <a:extLst>
            <a:ext uri="{FF2B5EF4-FFF2-40B4-BE49-F238E27FC236}">
              <a16:creationId xmlns:a16="http://schemas.microsoft.com/office/drawing/2014/main" id="{65CB9E6E-D502-BD24-2CA7-C417E0D36BA2}"/>
            </a:ext>
          </a:extLst>
        </xdr:cNvPr>
        <xdr:cNvPicPr>
          <a:picLocks noChangeAspect="1" noChangeArrowheads="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rcRect/>
        <a:stretch>
          <a:fillRect/>
        </a:stretch>
      </xdr:blipFill>
      <xdr:spPr bwMode="auto">
        <a:xfrm>
          <a:off x="10833639" y="491299"/>
          <a:ext cx="1104362" cy="8398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601980</xdr:colOff>
      <xdr:row>20</xdr:row>
      <xdr:rowOff>144702</xdr:rowOff>
    </xdr:from>
    <xdr:to>
      <xdr:col>6</xdr:col>
      <xdr:colOff>146165</xdr:colOff>
      <xdr:row>32</xdr:row>
      <xdr:rowOff>30787</xdr:rowOff>
    </xdr:to>
    <xdr:sp macro="" textlink="">
      <xdr:nvSpPr>
        <xdr:cNvPr id="31" name="Rectangle: Rounded Corners 30">
          <a:extLst>
            <a:ext uri="{FF2B5EF4-FFF2-40B4-BE49-F238E27FC236}">
              <a16:creationId xmlns:a16="http://schemas.microsoft.com/office/drawing/2014/main" id="{CCE9750C-187B-5CD7-EB5E-1877167BDDBC}"/>
            </a:ext>
          </a:extLst>
        </xdr:cNvPr>
        <xdr:cNvSpPr/>
      </xdr:nvSpPr>
      <xdr:spPr>
        <a:xfrm>
          <a:off x="1818101" y="3839247"/>
          <a:ext cx="1976428" cy="2102813"/>
        </a:xfrm>
        <a:prstGeom prst="roundRect">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b="1">
              <a:solidFill>
                <a:srgbClr val="FCBF49"/>
              </a:solidFill>
            </a:rPr>
            <a:t>Work Location</a:t>
          </a:r>
          <a:endParaRPr lang="en-US" sz="1100" b="1">
            <a:solidFill>
              <a:srgbClr val="FCBF49"/>
            </a:solidFill>
          </a:endParaRPr>
        </a:p>
      </xdr:txBody>
    </xdr:sp>
    <xdr:clientData/>
  </xdr:twoCellAnchor>
  <xdr:twoCellAnchor>
    <xdr:from>
      <xdr:col>3</xdr:col>
      <xdr:colOff>53340</xdr:colOff>
      <xdr:row>22</xdr:row>
      <xdr:rowOff>144780</xdr:rowOff>
    </xdr:from>
    <xdr:to>
      <xdr:col>5</xdr:col>
      <xdr:colOff>220980</xdr:colOff>
      <xdr:row>29</xdr:row>
      <xdr:rowOff>137160</xdr:rowOff>
    </xdr:to>
    <xdr:graphicFrame macro="">
      <xdr:nvGraphicFramePr>
        <xdr:cNvPr id="30" name="Chart 29">
          <a:extLst>
            <a:ext uri="{FF2B5EF4-FFF2-40B4-BE49-F238E27FC236}">
              <a16:creationId xmlns:a16="http://schemas.microsoft.com/office/drawing/2014/main" id="{E5814803-1953-4229-BBA0-A3A00CE4C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84128</xdr:colOff>
      <xdr:row>21</xdr:row>
      <xdr:rowOff>129463</xdr:rowOff>
    </xdr:from>
    <xdr:to>
      <xdr:col>3</xdr:col>
      <xdr:colOff>228908</xdr:colOff>
      <xdr:row>22</xdr:row>
      <xdr:rowOff>91363</xdr:rowOff>
    </xdr:to>
    <xdr:sp macro="" textlink="">
      <xdr:nvSpPr>
        <xdr:cNvPr id="32" name="Oval 31">
          <a:extLst>
            <a:ext uri="{FF2B5EF4-FFF2-40B4-BE49-F238E27FC236}">
              <a16:creationId xmlns:a16="http://schemas.microsoft.com/office/drawing/2014/main" id="{F104541F-886B-4063-AA30-3E1AC7EBAA05}"/>
            </a:ext>
          </a:extLst>
        </xdr:cNvPr>
        <xdr:cNvSpPr/>
      </xdr:nvSpPr>
      <xdr:spPr>
        <a:xfrm>
          <a:off x="1908310" y="4008736"/>
          <a:ext cx="144780" cy="146627"/>
        </a:xfrm>
        <a:prstGeom prst="ellipse">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449580</xdr:colOff>
      <xdr:row>88</xdr:row>
      <xdr:rowOff>68580</xdr:rowOff>
    </xdr:from>
    <xdr:to>
      <xdr:col>20</xdr:col>
      <xdr:colOff>83820</xdr:colOff>
      <xdr:row>89</xdr:row>
      <xdr:rowOff>144780</xdr:rowOff>
    </xdr:to>
    <xdr:sp macro="" textlink="">
      <xdr:nvSpPr>
        <xdr:cNvPr id="36" name="TextBox 35">
          <a:extLst>
            <a:ext uri="{FF2B5EF4-FFF2-40B4-BE49-F238E27FC236}">
              <a16:creationId xmlns:a16="http://schemas.microsoft.com/office/drawing/2014/main" id="{0368C666-E436-3FAC-2F02-E08784A24A06}"/>
            </a:ext>
          </a:extLst>
        </xdr:cNvPr>
        <xdr:cNvSpPr txBox="1"/>
      </xdr:nvSpPr>
      <xdr:spPr>
        <a:xfrm>
          <a:off x="11422380" y="16162020"/>
          <a:ext cx="853440" cy="259080"/>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Head Office</a:t>
          </a:r>
        </a:p>
      </xdr:txBody>
    </xdr:sp>
    <xdr:clientData/>
  </xdr:twoCellAnchor>
  <xdr:twoCellAnchor>
    <xdr:from>
      <xdr:col>18</xdr:col>
      <xdr:colOff>228600</xdr:colOff>
      <xdr:row>81</xdr:row>
      <xdr:rowOff>38100</xdr:rowOff>
    </xdr:from>
    <xdr:to>
      <xdr:col>19</xdr:col>
      <xdr:colOff>563880</xdr:colOff>
      <xdr:row>82</xdr:row>
      <xdr:rowOff>99060</xdr:rowOff>
    </xdr:to>
    <xdr:sp macro="" textlink="">
      <xdr:nvSpPr>
        <xdr:cNvPr id="37" name="TextBox 36">
          <a:extLst>
            <a:ext uri="{FF2B5EF4-FFF2-40B4-BE49-F238E27FC236}">
              <a16:creationId xmlns:a16="http://schemas.microsoft.com/office/drawing/2014/main" id="{57D41163-06D3-3E38-B9AC-BB49AD171769}"/>
            </a:ext>
          </a:extLst>
        </xdr:cNvPr>
        <xdr:cNvSpPr txBox="1"/>
      </xdr:nvSpPr>
      <xdr:spPr>
        <a:xfrm>
          <a:off x="11201400" y="14851380"/>
          <a:ext cx="944880" cy="243840"/>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bg1"/>
              </a:solidFill>
            </a:rPr>
            <a:t> </a:t>
          </a:r>
        </a:p>
      </xdr:txBody>
    </xdr:sp>
    <xdr:clientData/>
  </xdr:twoCellAnchor>
  <xdr:twoCellAnchor>
    <xdr:from>
      <xdr:col>12</xdr:col>
      <xdr:colOff>432262</xdr:colOff>
      <xdr:row>61</xdr:row>
      <xdr:rowOff>30480</xdr:rowOff>
    </xdr:from>
    <xdr:to>
      <xdr:col>14</xdr:col>
      <xdr:colOff>180802</xdr:colOff>
      <xdr:row>62</xdr:row>
      <xdr:rowOff>60960</xdr:rowOff>
    </xdr:to>
    <xdr:sp macro="" textlink="">
      <xdr:nvSpPr>
        <xdr:cNvPr id="40" name="TextBox 39">
          <a:extLst>
            <a:ext uri="{FF2B5EF4-FFF2-40B4-BE49-F238E27FC236}">
              <a16:creationId xmlns:a16="http://schemas.microsoft.com/office/drawing/2014/main" id="{4D5A3725-C930-01E3-1063-C2783C47AF59}"/>
            </a:ext>
          </a:extLst>
        </xdr:cNvPr>
        <xdr:cNvSpPr txBox="1"/>
      </xdr:nvSpPr>
      <xdr:spPr>
        <a:xfrm>
          <a:off x="7747462" y="11017135"/>
          <a:ext cx="967740" cy="210589"/>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bg1"/>
              </a:solidFill>
            </a:rPr>
            <a:t>  Head Office</a:t>
          </a:r>
        </a:p>
      </xdr:txBody>
    </xdr:sp>
    <xdr:clientData/>
  </xdr:twoCellAnchor>
  <xdr:twoCellAnchor>
    <xdr:from>
      <xdr:col>20</xdr:col>
      <xdr:colOff>99060</xdr:colOff>
      <xdr:row>86</xdr:row>
      <xdr:rowOff>160020</xdr:rowOff>
    </xdr:from>
    <xdr:to>
      <xdr:col>20</xdr:col>
      <xdr:colOff>541020</xdr:colOff>
      <xdr:row>88</xdr:row>
      <xdr:rowOff>45720</xdr:rowOff>
    </xdr:to>
    <xdr:sp macro="" textlink="'pivot table'!F32">
      <xdr:nvSpPr>
        <xdr:cNvPr id="43" name="TextBox 42">
          <a:extLst>
            <a:ext uri="{FF2B5EF4-FFF2-40B4-BE49-F238E27FC236}">
              <a16:creationId xmlns:a16="http://schemas.microsoft.com/office/drawing/2014/main" id="{98D7472E-C0C5-82AF-7ED4-7437A12E5329}"/>
            </a:ext>
          </a:extLst>
        </xdr:cNvPr>
        <xdr:cNvSpPr txBox="1"/>
      </xdr:nvSpPr>
      <xdr:spPr>
        <a:xfrm>
          <a:off x="12291060" y="15887700"/>
          <a:ext cx="441960" cy="251460"/>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t>
          </a:r>
        </a:p>
      </xdr:txBody>
    </xdr:sp>
    <xdr:clientData/>
  </xdr:twoCellAnchor>
  <xdr:twoCellAnchor>
    <xdr:from>
      <xdr:col>4</xdr:col>
      <xdr:colOff>487680</xdr:colOff>
      <xdr:row>24</xdr:row>
      <xdr:rowOff>53340</xdr:rowOff>
    </xdr:from>
    <xdr:to>
      <xdr:col>5</xdr:col>
      <xdr:colOff>312420</xdr:colOff>
      <xdr:row>25</xdr:row>
      <xdr:rowOff>99060</xdr:rowOff>
    </xdr:to>
    <xdr:sp macro="" textlink="'pivot table'!C40">
      <xdr:nvSpPr>
        <xdr:cNvPr id="44" name="TextBox 43">
          <a:extLst>
            <a:ext uri="{FF2B5EF4-FFF2-40B4-BE49-F238E27FC236}">
              <a16:creationId xmlns:a16="http://schemas.microsoft.com/office/drawing/2014/main" id="{A2860A63-69BA-1550-6DF6-EF9FBEFADBE0}"/>
            </a:ext>
          </a:extLst>
        </xdr:cNvPr>
        <xdr:cNvSpPr txBox="1"/>
      </xdr:nvSpPr>
      <xdr:spPr>
        <a:xfrm>
          <a:off x="2926080" y="4442460"/>
          <a:ext cx="434340" cy="228600"/>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F90A08-95BD-4BFC-AE04-BBB695D56077}" type="TxLink">
            <a:rPr lang="en-US" sz="1100" b="0" i="0" u="none" strike="noStrike">
              <a:solidFill>
                <a:schemeClr val="bg1"/>
              </a:solidFill>
              <a:latin typeface="Aptos Narrow"/>
            </a:rPr>
            <a:pPr/>
            <a:t> </a:t>
          </a:fld>
          <a:endParaRPr lang="en-US" sz="1100">
            <a:solidFill>
              <a:schemeClr val="bg1"/>
            </a:solidFill>
          </a:endParaRPr>
        </a:p>
      </xdr:txBody>
    </xdr:sp>
    <xdr:clientData/>
  </xdr:twoCellAnchor>
  <xdr:twoCellAnchor>
    <xdr:from>
      <xdr:col>5</xdr:col>
      <xdr:colOff>60960</xdr:colOff>
      <xdr:row>28</xdr:row>
      <xdr:rowOff>60960</xdr:rowOff>
    </xdr:from>
    <xdr:to>
      <xdr:col>5</xdr:col>
      <xdr:colOff>518160</xdr:colOff>
      <xdr:row>29</xdr:row>
      <xdr:rowOff>99060</xdr:rowOff>
    </xdr:to>
    <xdr:sp macro="" textlink="'pivot table'!C38">
      <xdr:nvSpPr>
        <xdr:cNvPr id="47" name="TextBox 46">
          <a:extLst>
            <a:ext uri="{FF2B5EF4-FFF2-40B4-BE49-F238E27FC236}">
              <a16:creationId xmlns:a16="http://schemas.microsoft.com/office/drawing/2014/main" id="{88F0F2B0-77F0-0580-0356-CF54A678918B}"/>
            </a:ext>
          </a:extLst>
        </xdr:cNvPr>
        <xdr:cNvSpPr txBox="1"/>
      </xdr:nvSpPr>
      <xdr:spPr>
        <a:xfrm>
          <a:off x="3108960" y="5181600"/>
          <a:ext cx="457200" cy="220980"/>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6D338E-2ED4-4720-9671-C6FB33AAB83A}" type="TxLink">
            <a:rPr lang="en-US" sz="1100" b="0" i="0" u="none" strike="noStrike">
              <a:solidFill>
                <a:schemeClr val="bg1"/>
              </a:solidFill>
              <a:latin typeface="Aptos Narrow"/>
            </a:rPr>
            <a:pPr/>
            <a:t> </a:t>
          </a:fld>
          <a:endParaRPr lang="en-US" sz="1100">
            <a:solidFill>
              <a:schemeClr val="bg1"/>
            </a:solidFill>
          </a:endParaRPr>
        </a:p>
      </xdr:txBody>
    </xdr:sp>
    <xdr:clientData/>
  </xdr:twoCellAnchor>
  <xdr:twoCellAnchor>
    <xdr:from>
      <xdr:col>4</xdr:col>
      <xdr:colOff>30480</xdr:colOff>
      <xdr:row>26</xdr:row>
      <xdr:rowOff>45720</xdr:rowOff>
    </xdr:from>
    <xdr:to>
      <xdr:col>4</xdr:col>
      <xdr:colOff>487680</xdr:colOff>
      <xdr:row>27</xdr:row>
      <xdr:rowOff>68580</xdr:rowOff>
    </xdr:to>
    <xdr:sp macro="" textlink="'pivot table'!C39">
      <xdr:nvSpPr>
        <xdr:cNvPr id="48" name="TextBox 47">
          <a:extLst>
            <a:ext uri="{FF2B5EF4-FFF2-40B4-BE49-F238E27FC236}">
              <a16:creationId xmlns:a16="http://schemas.microsoft.com/office/drawing/2014/main" id="{EA7A263F-95B8-D0E4-061C-456A6973B12D}"/>
            </a:ext>
          </a:extLst>
        </xdr:cNvPr>
        <xdr:cNvSpPr txBox="1"/>
      </xdr:nvSpPr>
      <xdr:spPr>
        <a:xfrm>
          <a:off x="2468880" y="4800600"/>
          <a:ext cx="457200" cy="205740"/>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294094-6485-4C28-B092-4385803EC53C}" type="TxLink">
            <a:rPr lang="en-US" sz="1100" b="0" i="0" u="none" strike="noStrike">
              <a:solidFill>
                <a:schemeClr val="bg1"/>
              </a:solidFill>
              <a:latin typeface="Aptos Narrow"/>
            </a:rPr>
            <a:pPr/>
            <a:t> </a:t>
          </a:fld>
          <a:endParaRPr lang="en-US" sz="1100">
            <a:solidFill>
              <a:schemeClr val="bg1"/>
            </a:solidFill>
          </a:endParaRPr>
        </a:p>
      </xdr:txBody>
    </xdr:sp>
    <xdr:clientData/>
  </xdr:twoCellAnchor>
  <xdr:twoCellAnchor>
    <xdr:from>
      <xdr:col>5</xdr:col>
      <xdr:colOff>152400</xdr:colOff>
      <xdr:row>8</xdr:row>
      <xdr:rowOff>106680</xdr:rowOff>
    </xdr:from>
    <xdr:to>
      <xdr:col>5</xdr:col>
      <xdr:colOff>556260</xdr:colOff>
      <xdr:row>10</xdr:row>
      <xdr:rowOff>76200</xdr:rowOff>
    </xdr:to>
    <xdr:sp macro="" textlink="'pivot table'!$F$13">
      <xdr:nvSpPr>
        <xdr:cNvPr id="52" name="TextBox 51">
          <a:extLst>
            <a:ext uri="{FF2B5EF4-FFF2-40B4-BE49-F238E27FC236}">
              <a16:creationId xmlns:a16="http://schemas.microsoft.com/office/drawing/2014/main" id="{37F38EE7-D6EB-A6FA-D5D9-323E188C20DB}"/>
            </a:ext>
          </a:extLst>
        </xdr:cNvPr>
        <xdr:cNvSpPr txBox="1"/>
      </xdr:nvSpPr>
      <xdr:spPr>
        <a:xfrm>
          <a:off x="3200400" y="1569720"/>
          <a:ext cx="403860" cy="335280"/>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B60C83-5962-4621-8A72-71B307B34891}" type="TxLink">
            <a:rPr lang="en-US" sz="1100" b="0" i="0" u="none" strike="noStrike">
              <a:ln>
                <a:solidFill>
                  <a:srgbClr val="FCBF49"/>
                </a:solidFill>
              </a:ln>
              <a:solidFill>
                <a:srgbClr val="FCBF49"/>
              </a:solidFill>
              <a:latin typeface="Aptos Narrow"/>
            </a:rPr>
            <a:pPr/>
            <a:t>12</a:t>
          </a:fld>
          <a:endParaRPr lang="en-US" sz="1100">
            <a:ln>
              <a:solidFill>
                <a:srgbClr val="FCBF49"/>
              </a:solidFill>
            </a:ln>
            <a:solidFill>
              <a:srgbClr val="FCBF49"/>
            </a:solidFill>
          </a:endParaRPr>
        </a:p>
      </xdr:txBody>
    </xdr:sp>
    <xdr:clientData/>
  </xdr:twoCellAnchor>
  <xdr:twoCellAnchor editAs="oneCell">
    <xdr:from>
      <xdr:col>7</xdr:col>
      <xdr:colOff>586740</xdr:colOff>
      <xdr:row>0</xdr:row>
      <xdr:rowOff>91440</xdr:rowOff>
    </xdr:from>
    <xdr:to>
      <xdr:col>10</xdr:col>
      <xdr:colOff>175260</xdr:colOff>
      <xdr:row>4</xdr:row>
      <xdr:rowOff>45720</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3A8FEDB2-6A73-4D8B-822B-3D5FABCFAF3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853940" y="91440"/>
              <a:ext cx="1417320" cy="6747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15240</xdr:colOff>
      <xdr:row>0</xdr:row>
      <xdr:rowOff>87630</xdr:rowOff>
    </xdr:from>
    <xdr:to>
      <xdr:col>9</xdr:col>
      <xdr:colOff>502920</xdr:colOff>
      <xdr:row>2</xdr:row>
      <xdr:rowOff>22860</xdr:rowOff>
    </xdr:to>
    <xdr:sp macro="" textlink="">
      <xdr:nvSpPr>
        <xdr:cNvPr id="5" name="TextBox 4">
          <a:extLst>
            <a:ext uri="{FF2B5EF4-FFF2-40B4-BE49-F238E27FC236}">
              <a16:creationId xmlns:a16="http://schemas.microsoft.com/office/drawing/2014/main" id="{6443798A-BEC9-A6F6-65B4-3E8716E5A96D}"/>
            </a:ext>
          </a:extLst>
        </xdr:cNvPr>
        <xdr:cNvSpPr txBox="1"/>
      </xdr:nvSpPr>
      <xdr:spPr>
        <a:xfrm>
          <a:off x="4892040" y="87630"/>
          <a:ext cx="1097280" cy="300990"/>
        </a:xfrm>
        <a:prstGeom prst="rect">
          <a:avLst/>
        </a:prstGeom>
        <a:solidFill>
          <a:schemeClr val="bg2">
            <a:lumMod val="10000"/>
          </a:schemeClr>
        </a:solidFill>
        <a:ln w="9525" cmpd="sng">
          <a:solidFill>
            <a:schemeClr val="bg2">
              <a:lumMod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mn-lt"/>
              <a:ea typeface="+mn-ea"/>
              <a:cs typeface="+mn-cs"/>
            </a:rPr>
            <a:t>Filter by gender</a:t>
          </a:r>
        </a:p>
      </xdr:txBody>
    </xdr:sp>
    <xdr:clientData/>
  </xdr:twoCellAnchor>
  <xdr:twoCellAnchor>
    <xdr:from>
      <xdr:col>6</xdr:col>
      <xdr:colOff>177030</xdr:colOff>
      <xdr:row>5</xdr:row>
      <xdr:rowOff>53879</xdr:rowOff>
    </xdr:from>
    <xdr:to>
      <xdr:col>10</xdr:col>
      <xdr:colOff>508000</xdr:colOff>
      <xdr:row>11</xdr:row>
      <xdr:rowOff>123152</xdr:rowOff>
    </xdr:to>
    <xdr:sp macro="" textlink="">
      <xdr:nvSpPr>
        <xdr:cNvPr id="25" name="Rectangle: Rounded Corners 24">
          <a:extLst>
            <a:ext uri="{FF2B5EF4-FFF2-40B4-BE49-F238E27FC236}">
              <a16:creationId xmlns:a16="http://schemas.microsoft.com/office/drawing/2014/main" id="{F01ADEA2-B4D2-1C8A-3F8E-7A68A37C6EDA}"/>
            </a:ext>
          </a:extLst>
        </xdr:cNvPr>
        <xdr:cNvSpPr/>
      </xdr:nvSpPr>
      <xdr:spPr>
        <a:xfrm>
          <a:off x="3825394" y="977515"/>
          <a:ext cx="2763212" cy="1177637"/>
        </a:xfrm>
        <a:prstGeom prst="roundRect">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bg1"/>
              </a:solidFill>
            </a:rPr>
            <a:t>         </a:t>
          </a:r>
          <a:r>
            <a:rPr lang="en-US" sz="1600" b="1">
              <a:solidFill>
                <a:srgbClr val="E5B244"/>
              </a:solidFill>
            </a:rPr>
            <a:t>Employees Numbers</a:t>
          </a:r>
          <a:endParaRPr lang="en-US" sz="1400" b="1">
            <a:solidFill>
              <a:srgbClr val="E5B244"/>
            </a:solidFill>
          </a:endParaRPr>
        </a:p>
        <a:p>
          <a:pPr algn="l"/>
          <a:endParaRPr lang="en-US" sz="1100">
            <a:solidFill>
              <a:schemeClr val="bg1"/>
            </a:solidFill>
          </a:endParaRPr>
        </a:p>
        <a:p>
          <a:pPr algn="l"/>
          <a:endParaRPr lang="en-US" sz="1100">
            <a:solidFill>
              <a:schemeClr val="bg1"/>
            </a:solidFill>
          </a:endParaRPr>
        </a:p>
        <a:p>
          <a:pPr algn="l"/>
          <a:endParaRPr lang="en-US" sz="1100">
            <a:solidFill>
              <a:schemeClr val="bg1"/>
            </a:solidFill>
          </a:endParaRPr>
        </a:p>
      </xdr:txBody>
    </xdr:sp>
    <xdr:clientData/>
  </xdr:twoCellAnchor>
  <xdr:twoCellAnchor>
    <xdr:from>
      <xdr:col>3</xdr:col>
      <xdr:colOff>221750</xdr:colOff>
      <xdr:row>68</xdr:row>
      <xdr:rowOff>98982</xdr:rowOff>
    </xdr:from>
    <xdr:to>
      <xdr:col>4</xdr:col>
      <xdr:colOff>418331</xdr:colOff>
      <xdr:row>71</xdr:row>
      <xdr:rowOff>68503</xdr:rowOff>
    </xdr:to>
    <xdr:sp macro="" textlink="'pivot table'!B38">
      <xdr:nvSpPr>
        <xdr:cNvPr id="28" name="TextBox 27">
          <a:extLst>
            <a:ext uri="{FF2B5EF4-FFF2-40B4-BE49-F238E27FC236}">
              <a16:creationId xmlns:a16="http://schemas.microsoft.com/office/drawing/2014/main" id="{B4A16219-2577-C897-EEF7-D37C6E03EE1F}"/>
            </a:ext>
          </a:extLst>
        </xdr:cNvPr>
        <xdr:cNvSpPr txBox="1"/>
      </xdr:nvSpPr>
      <xdr:spPr>
        <a:xfrm>
          <a:off x="2045932" y="12660437"/>
          <a:ext cx="804641" cy="5237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p>
      </xdr:txBody>
    </xdr:sp>
    <xdr:clientData/>
  </xdr:twoCellAnchor>
  <xdr:twoCellAnchor>
    <xdr:from>
      <xdr:col>6</xdr:col>
      <xdr:colOff>365914</xdr:colOff>
      <xdr:row>6</xdr:row>
      <xdr:rowOff>29324</xdr:rowOff>
    </xdr:from>
    <xdr:to>
      <xdr:col>6</xdr:col>
      <xdr:colOff>510694</xdr:colOff>
      <xdr:row>6</xdr:row>
      <xdr:rowOff>175952</xdr:rowOff>
    </xdr:to>
    <xdr:sp macro="" textlink="">
      <xdr:nvSpPr>
        <xdr:cNvPr id="35" name="Oval 34">
          <a:extLst>
            <a:ext uri="{FF2B5EF4-FFF2-40B4-BE49-F238E27FC236}">
              <a16:creationId xmlns:a16="http://schemas.microsoft.com/office/drawing/2014/main" id="{FFC8E6E2-99F8-4E05-8922-2BFBADAFCEAC}"/>
            </a:ext>
          </a:extLst>
        </xdr:cNvPr>
        <xdr:cNvSpPr/>
      </xdr:nvSpPr>
      <xdr:spPr>
        <a:xfrm>
          <a:off x="4014278" y="1137688"/>
          <a:ext cx="144780" cy="146628"/>
        </a:xfrm>
        <a:prstGeom prst="ellipse">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356830</xdr:colOff>
      <xdr:row>7</xdr:row>
      <xdr:rowOff>107758</xdr:rowOff>
    </xdr:from>
    <xdr:to>
      <xdr:col>7</xdr:col>
      <xdr:colOff>554181</xdr:colOff>
      <xdr:row>11</xdr:row>
      <xdr:rowOff>84129</xdr:rowOff>
    </xdr:to>
    <xdr:sp macro="" textlink="'pivot table'!B38">
      <xdr:nvSpPr>
        <xdr:cNvPr id="39" name="TextBox 38">
          <a:extLst>
            <a:ext uri="{FF2B5EF4-FFF2-40B4-BE49-F238E27FC236}">
              <a16:creationId xmlns:a16="http://schemas.microsoft.com/office/drawing/2014/main" id="{A08321E5-2801-2956-55CE-D4AF2700D73D}"/>
            </a:ext>
          </a:extLst>
        </xdr:cNvPr>
        <xdr:cNvSpPr txBox="1"/>
      </xdr:nvSpPr>
      <xdr:spPr>
        <a:xfrm>
          <a:off x="4005194" y="1400849"/>
          <a:ext cx="805411" cy="715280"/>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8460AE-E6F6-4440-8DA9-77D3E60128A3}" type="TxLink">
            <a:rPr lang="en-US" sz="3600" b="0" i="0" u="none" strike="noStrike">
              <a:solidFill>
                <a:schemeClr val="bg1"/>
              </a:solidFill>
              <a:latin typeface="Aptos Narrow"/>
            </a:rPr>
            <a:pPr/>
            <a:t>50</a:t>
          </a:fld>
          <a:endParaRPr lang="en-US" sz="1100">
            <a:solidFill>
              <a:schemeClr val="bg1"/>
            </a:solidFill>
          </a:endParaRPr>
        </a:p>
      </xdr:txBody>
    </xdr:sp>
    <xdr:clientData/>
  </xdr:twoCellAnchor>
  <xdr:twoCellAnchor editAs="oneCell">
    <xdr:from>
      <xdr:col>8</xdr:col>
      <xdr:colOff>342900</xdr:colOff>
      <xdr:row>6</xdr:row>
      <xdr:rowOff>152400</xdr:rowOff>
    </xdr:from>
    <xdr:to>
      <xdr:col>10</xdr:col>
      <xdr:colOff>261697</xdr:colOff>
      <xdr:row>11</xdr:row>
      <xdr:rowOff>119283</xdr:rowOff>
    </xdr:to>
    <xdr:pic>
      <xdr:nvPicPr>
        <xdr:cNvPr id="42" name="Graphic 41" descr="Group of men outline">
          <a:extLst>
            <a:ext uri="{FF2B5EF4-FFF2-40B4-BE49-F238E27FC236}">
              <a16:creationId xmlns:a16="http://schemas.microsoft.com/office/drawing/2014/main" id="{994E3034-410B-D803-1FE8-8DCBF283ED3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207385" y="1260764"/>
          <a:ext cx="1134918" cy="890519"/>
        </a:xfrm>
        <a:prstGeom prst="rect">
          <a:avLst/>
        </a:prstGeom>
      </xdr:spPr>
    </xdr:pic>
    <xdr:clientData/>
  </xdr:twoCellAnchor>
  <xdr:twoCellAnchor>
    <xdr:from>
      <xdr:col>6</xdr:col>
      <xdr:colOff>594360</xdr:colOff>
      <xdr:row>55</xdr:row>
      <xdr:rowOff>106680</xdr:rowOff>
    </xdr:from>
    <xdr:to>
      <xdr:col>7</xdr:col>
      <xdr:colOff>487680</xdr:colOff>
      <xdr:row>56</xdr:row>
      <xdr:rowOff>167640</xdr:rowOff>
    </xdr:to>
    <xdr:sp macro="" textlink="'pivot table'!D37">
      <xdr:nvSpPr>
        <xdr:cNvPr id="1024" name="TextBox 1023">
          <a:extLst>
            <a:ext uri="{FF2B5EF4-FFF2-40B4-BE49-F238E27FC236}">
              <a16:creationId xmlns:a16="http://schemas.microsoft.com/office/drawing/2014/main" id="{03E579ED-C70A-1E82-7C8E-B958ABA11247}"/>
            </a:ext>
          </a:extLst>
        </xdr:cNvPr>
        <xdr:cNvSpPr txBox="1"/>
      </xdr:nvSpPr>
      <xdr:spPr>
        <a:xfrm>
          <a:off x="4251960" y="10165080"/>
          <a:ext cx="502920" cy="243840"/>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E110FD-3BF5-4444-BB31-F05C60BB2446}" type="TxLink">
            <a:rPr lang="en-US" sz="1400" b="0" i="0" u="none" strike="noStrike">
              <a:solidFill>
                <a:schemeClr val="bg1"/>
              </a:solidFill>
              <a:latin typeface="Aptos Narrow"/>
            </a:rPr>
            <a:pPr/>
            <a:t>52%</a:t>
          </a:fld>
          <a:endParaRPr lang="en-US" sz="1100">
            <a:solidFill>
              <a:schemeClr val="bg1"/>
            </a:solidFill>
          </a:endParaRPr>
        </a:p>
      </xdr:txBody>
    </xdr:sp>
    <xdr:clientData/>
  </xdr:twoCellAnchor>
  <xdr:twoCellAnchor>
    <xdr:from>
      <xdr:col>3</xdr:col>
      <xdr:colOff>53340</xdr:colOff>
      <xdr:row>22</xdr:row>
      <xdr:rowOff>167640</xdr:rowOff>
    </xdr:from>
    <xdr:to>
      <xdr:col>5</xdr:col>
      <xdr:colOff>577273</xdr:colOff>
      <xdr:row>31</xdr:row>
      <xdr:rowOff>84667</xdr:rowOff>
    </xdr:to>
    <xdr:graphicFrame macro="">
      <xdr:nvGraphicFramePr>
        <xdr:cNvPr id="1030" name="Chart 1029">
          <a:extLst>
            <a:ext uri="{FF2B5EF4-FFF2-40B4-BE49-F238E27FC236}">
              <a16:creationId xmlns:a16="http://schemas.microsoft.com/office/drawing/2014/main" id="{78DAABA2-166B-41C5-A6BD-8583F9F0B1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121920</xdr:colOff>
      <xdr:row>27</xdr:row>
      <xdr:rowOff>68580</xdr:rowOff>
    </xdr:from>
    <xdr:to>
      <xdr:col>4</xdr:col>
      <xdr:colOff>510540</xdr:colOff>
      <xdr:row>28</xdr:row>
      <xdr:rowOff>91440</xdr:rowOff>
    </xdr:to>
    <xdr:sp macro="" textlink="">
      <xdr:nvSpPr>
        <xdr:cNvPr id="51" name="TextBox 50">
          <a:extLst>
            <a:ext uri="{FF2B5EF4-FFF2-40B4-BE49-F238E27FC236}">
              <a16:creationId xmlns:a16="http://schemas.microsoft.com/office/drawing/2014/main" id="{2B55A971-8626-0B48-A4C0-77B05C920EA9}"/>
            </a:ext>
          </a:extLst>
        </xdr:cNvPr>
        <xdr:cNvSpPr txBox="1"/>
      </xdr:nvSpPr>
      <xdr:spPr>
        <a:xfrm>
          <a:off x="1950720" y="5006340"/>
          <a:ext cx="998220" cy="205740"/>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bg1"/>
              </a:solidFill>
            </a:rPr>
            <a:t> Branch Office</a:t>
          </a:r>
        </a:p>
      </xdr:txBody>
    </xdr:sp>
    <xdr:clientData/>
  </xdr:twoCellAnchor>
  <xdr:twoCellAnchor>
    <xdr:from>
      <xdr:col>3</xdr:col>
      <xdr:colOff>114300</xdr:colOff>
      <xdr:row>23</xdr:row>
      <xdr:rowOff>0</xdr:rowOff>
    </xdr:from>
    <xdr:to>
      <xdr:col>4</xdr:col>
      <xdr:colOff>160020</xdr:colOff>
      <xdr:row>24</xdr:row>
      <xdr:rowOff>53340</xdr:rowOff>
    </xdr:to>
    <xdr:sp macro="" textlink="">
      <xdr:nvSpPr>
        <xdr:cNvPr id="34" name="TextBox 33">
          <a:extLst>
            <a:ext uri="{FF2B5EF4-FFF2-40B4-BE49-F238E27FC236}">
              <a16:creationId xmlns:a16="http://schemas.microsoft.com/office/drawing/2014/main" id="{7FBB9F07-3860-AB30-6945-38320FFE863C}"/>
            </a:ext>
          </a:extLst>
        </xdr:cNvPr>
        <xdr:cNvSpPr txBox="1"/>
      </xdr:nvSpPr>
      <xdr:spPr>
        <a:xfrm>
          <a:off x="1943100" y="4206240"/>
          <a:ext cx="655320" cy="236220"/>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bg1"/>
              </a:solidFill>
            </a:rPr>
            <a:t>Remote</a:t>
          </a:r>
        </a:p>
      </xdr:txBody>
    </xdr:sp>
    <xdr:clientData/>
  </xdr:twoCellAnchor>
  <xdr:twoCellAnchor>
    <xdr:from>
      <xdr:col>3</xdr:col>
      <xdr:colOff>76200</xdr:colOff>
      <xdr:row>25</xdr:row>
      <xdr:rowOff>60960</xdr:rowOff>
    </xdr:from>
    <xdr:to>
      <xdr:col>4</xdr:col>
      <xdr:colOff>381000</xdr:colOff>
      <xdr:row>26</xdr:row>
      <xdr:rowOff>60960</xdr:rowOff>
    </xdr:to>
    <xdr:sp macro="" textlink="">
      <xdr:nvSpPr>
        <xdr:cNvPr id="49" name="TextBox 48">
          <a:extLst>
            <a:ext uri="{FF2B5EF4-FFF2-40B4-BE49-F238E27FC236}">
              <a16:creationId xmlns:a16="http://schemas.microsoft.com/office/drawing/2014/main" id="{ECD164F6-4DDA-C4CD-B568-1CB3298FE021}"/>
            </a:ext>
          </a:extLst>
        </xdr:cNvPr>
        <xdr:cNvSpPr txBox="1"/>
      </xdr:nvSpPr>
      <xdr:spPr>
        <a:xfrm>
          <a:off x="1905000" y="4632960"/>
          <a:ext cx="914400" cy="182880"/>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bg1"/>
              </a:solidFill>
            </a:rPr>
            <a:t>  Head Office</a:t>
          </a:r>
        </a:p>
      </xdr:txBody>
    </xdr:sp>
    <xdr:clientData/>
  </xdr:twoCellAnchor>
  <xdr:twoCellAnchor>
    <xdr:from>
      <xdr:col>6</xdr:col>
      <xdr:colOff>267470</xdr:colOff>
      <xdr:row>70</xdr:row>
      <xdr:rowOff>56264</xdr:rowOff>
    </xdr:from>
    <xdr:to>
      <xdr:col>7</xdr:col>
      <xdr:colOff>509771</xdr:colOff>
      <xdr:row>71</xdr:row>
      <xdr:rowOff>137083</xdr:rowOff>
    </xdr:to>
    <xdr:sp macro="" textlink="">
      <xdr:nvSpPr>
        <xdr:cNvPr id="1031" name="TextBox 1030">
          <a:extLst>
            <a:ext uri="{FF2B5EF4-FFF2-40B4-BE49-F238E27FC236}">
              <a16:creationId xmlns:a16="http://schemas.microsoft.com/office/drawing/2014/main" id="{2D655F27-3E74-A65A-F7AB-E495F7F7BE8C}"/>
            </a:ext>
          </a:extLst>
        </xdr:cNvPr>
        <xdr:cNvSpPr txBox="1"/>
      </xdr:nvSpPr>
      <xdr:spPr>
        <a:xfrm>
          <a:off x="3915834" y="12987173"/>
          <a:ext cx="850361" cy="265546"/>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Head Office</a:t>
          </a:r>
        </a:p>
      </xdr:txBody>
    </xdr:sp>
    <xdr:clientData/>
  </xdr:twoCellAnchor>
  <xdr:twoCellAnchor>
    <xdr:from>
      <xdr:col>10</xdr:col>
      <xdr:colOff>144780</xdr:colOff>
      <xdr:row>56</xdr:row>
      <xdr:rowOff>0</xdr:rowOff>
    </xdr:from>
    <xdr:to>
      <xdr:col>11</xdr:col>
      <xdr:colOff>502920</xdr:colOff>
      <xdr:row>57</xdr:row>
      <xdr:rowOff>30480</xdr:rowOff>
    </xdr:to>
    <xdr:sp macro="" textlink="">
      <xdr:nvSpPr>
        <xdr:cNvPr id="1032" name="TextBox 1031">
          <a:extLst>
            <a:ext uri="{FF2B5EF4-FFF2-40B4-BE49-F238E27FC236}">
              <a16:creationId xmlns:a16="http://schemas.microsoft.com/office/drawing/2014/main" id="{53373664-04EA-9760-B6D5-D59A2B040BBC}"/>
            </a:ext>
          </a:extLst>
        </xdr:cNvPr>
        <xdr:cNvSpPr txBox="1"/>
      </xdr:nvSpPr>
      <xdr:spPr>
        <a:xfrm>
          <a:off x="6240780" y="10241280"/>
          <a:ext cx="967740" cy="213360"/>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bg1"/>
              </a:solidFill>
            </a:rPr>
            <a:t>  Head Office</a:t>
          </a:r>
        </a:p>
      </xdr:txBody>
    </xdr:sp>
    <xdr:clientData/>
  </xdr:twoCellAnchor>
  <xdr:twoCellAnchor>
    <xdr:from>
      <xdr:col>5</xdr:col>
      <xdr:colOff>281940</xdr:colOff>
      <xdr:row>59</xdr:row>
      <xdr:rowOff>76200</xdr:rowOff>
    </xdr:from>
    <xdr:to>
      <xdr:col>6</xdr:col>
      <xdr:colOff>480060</xdr:colOff>
      <xdr:row>62</xdr:row>
      <xdr:rowOff>45720</xdr:rowOff>
    </xdr:to>
    <xdr:sp macro="" textlink="'pivot table'!B38">
      <xdr:nvSpPr>
        <xdr:cNvPr id="1033" name="TextBox 1032">
          <a:extLst>
            <a:ext uri="{FF2B5EF4-FFF2-40B4-BE49-F238E27FC236}">
              <a16:creationId xmlns:a16="http://schemas.microsoft.com/office/drawing/2014/main" id="{D8BBB5AA-30B0-24ED-D9A3-BBD74D1E90DB}"/>
            </a:ext>
          </a:extLst>
        </xdr:cNvPr>
        <xdr:cNvSpPr txBox="1"/>
      </xdr:nvSpPr>
      <xdr:spPr>
        <a:xfrm>
          <a:off x="3329940" y="10866120"/>
          <a:ext cx="807720" cy="518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p>
      </xdr:txBody>
    </xdr:sp>
    <xdr:clientData/>
  </xdr:twoCellAnchor>
  <xdr:twoCellAnchor>
    <xdr:from>
      <xdr:col>8</xdr:col>
      <xdr:colOff>40871</xdr:colOff>
      <xdr:row>59</xdr:row>
      <xdr:rowOff>156557</xdr:rowOff>
    </xdr:from>
    <xdr:to>
      <xdr:col>8</xdr:col>
      <xdr:colOff>543791</xdr:colOff>
      <xdr:row>61</xdr:row>
      <xdr:rowOff>37407</xdr:rowOff>
    </xdr:to>
    <xdr:sp macro="" textlink="'pivot table'!D37">
      <xdr:nvSpPr>
        <xdr:cNvPr id="1034" name="TextBox 1033">
          <a:extLst>
            <a:ext uri="{FF2B5EF4-FFF2-40B4-BE49-F238E27FC236}">
              <a16:creationId xmlns:a16="http://schemas.microsoft.com/office/drawing/2014/main" id="{A16FA24A-8E96-D69A-E578-E70A5A0E21E1}"/>
            </a:ext>
          </a:extLst>
        </xdr:cNvPr>
        <xdr:cNvSpPr txBox="1"/>
      </xdr:nvSpPr>
      <xdr:spPr>
        <a:xfrm>
          <a:off x="4917671" y="10782993"/>
          <a:ext cx="502920" cy="241069"/>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E110FD-3BF5-4444-BB31-F05C60BB2446}" type="TxLink">
            <a:rPr lang="en-US" sz="1400" b="0" i="0" u="none" strike="noStrike">
              <a:solidFill>
                <a:schemeClr val="bg1"/>
              </a:solidFill>
              <a:latin typeface="Aptos Narrow"/>
            </a:rPr>
            <a:pPr/>
            <a:t>52%</a:t>
          </a:fld>
          <a:endParaRPr lang="en-US" sz="1100">
            <a:solidFill>
              <a:schemeClr val="bg1"/>
            </a:solidFill>
          </a:endParaRPr>
        </a:p>
      </xdr:txBody>
    </xdr:sp>
    <xdr:clientData/>
  </xdr:twoCellAnchor>
  <xdr:twoCellAnchor>
    <xdr:from>
      <xdr:col>30</xdr:col>
      <xdr:colOff>198120</xdr:colOff>
      <xdr:row>99</xdr:row>
      <xdr:rowOff>167640</xdr:rowOff>
    </xdr:from>
    <xdr:to>
      <xdr:col>31</xdr:col>
      <xdr:colOff>533400</xdr:colOff>
      <xdr:row>101</xdr:row>
      <xdr:rowOff>45720</xdr:rowOff>
    </xdr:to>
    <xdr:sp macro="" textlink="">
      <xdr:nvSpPr>
        <xdr:cNvPr id="1035" name="TextBox 1034">
          <a:extLst>
            <a:ext uri="{FF2B5EF4-FFF2-40B4-BE49-F238E27FC236}">
              <a16:creationId xmlns:a16="http://schemas.microsoft.com/office/drawing/2014/main" id="{0BAD01F4-E671-0F05-323C-C86E6120DD50}"/>
            </a:ext>
          </a:extLst>
        </xdr:cNvPr>
        <xdr:cNvSpPr txBox="1"/>
      </xdr:nvSpPr>
      <xdr:spPr>
        <a:xfrm>
          <a:off x="18486120" y="18272760"/>
          <a:ext cx="944880" cy="243840"/>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bg1"/>
              </a:solidFill>
            </a:rPr>
            <a:t> </a:t>
          </a:r>
        </a:p>
      </xdr:txBody>
    </xdr:sp>
    <xdr:clientData/>
  </xdr:twoCellAnchor>
  <xdr:oneCellAnchor>
    <xdr:from>
      <xdr:col>0</xdr:col>
      <xdr:colOff>159328</xdr:colOff>
      <xdr:row>8</xdr:row>
      <xdr:rowOff>20781</xdr:rowOff>
    </xdr:from>
    <xdr:ext cx="406404" cy="229923"/>
    <xdr:sp macro="" textlink="">
      <xdr:nvSpPr>
        <xdr:cNvPr id="1036" name="TextBox 1035">
          <a:extLst>
            <a:ext uri="{FF2B5EF4-FFF2-40B4-BE49-F238E27FC236}">
              <a16:creationId xmlns:a16="http://schemas.microsoft.com/office/drawing/2014/main" id="{CFA23C48-A650-E49C-FD08-6746C9E8B27A}"/>
            </a:ext>
          </a:extLst>
        </xdr:cNvPr>
        <xdr:cNvSpPr txBox="1"/>
      </xdr:nvSpPr>
      <xdr:spPr>
        <a:xfrm>
          <a:off x="159328" y="1461654"/>
          <a:ext cx="406404" cy="2299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5</xdr:col>
      <xdr:colOff>187036</xdr:colOff>
      <xdr:row>23</xdr:row>
      <xdr:rowOff>159328</xdr:rowOff>
    </xdr:from>
    <xdr:to>
      <xdr:col>6</xdr:col>
      <xdr:colOff>34636</xdr:colOff>
      <xdr:row>25</xdr:row>
      <xdr:rowOff>20783</xdr:rowOff>
    </xdr:to>
    <xdr:sp macro="" textlink="'pivot table'!J43">
      <xdr:nvSpPr>
        <xdr:cNvPr id="1037" name="TextBox 1036">
          <a:extLst>
            <a:ext uri="{FF2B5EF4-FFF2-40B4-BE49-F238E27FC236}">
              <a16:creationId xmlns:a16="http://schemas.microsoft.com/office/drawing/2014/main" id="{8357F2DE-F955-3215-00AD-1CB8675623BA}"/>
            </a:ext>
          </a:extLst>
        </xdr:cNvPr>
        <xdr:cNvSpPr txBox="1"/>
      </xdr:nvSpPr>
      <xdr:spPr>
        <a:xfrm>
          <a:off x="3235036" y="4301837"/>
          <a:ext cx="457200" cy="221673"/>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1FAB59-9D25-400A-981F-AFB03EE6E2ED}" type="TxLink">
            <a:rPr lang="en-US" sz="1100" b="0" i="0" u="none" strike="noStrike">
              <a:solidFill>
                <a:schemeClr val="bg1"/>
              </a:solidFill>
              <a:latin typeface="Aptos Narrow"/>
            </a:rPr>
            <a:pPr/>
            <a:t>38%</a:t>
          </a:fld>
          <a:endParaRPr lang="en-US" sz="1100">
            <a:solidFill>
              <a:schemeClr val="bg1"/>
            </a:solidFill>
          </a:endParaRPr>
        </a:p>
      </xdr:txBody>
    </xdr:sp>
    <xdr:clientData/>
  </xdr:twoCellAnchor>
  <xdr:twoCellAnchor>
    <xdr:from>
      <xdr:col>5</xdr:col>
      <xdr:colOff>166255</xdr:colOff>
      <xdr:row>26</xdr:row>
      <xdr:rowOff>6927</xdr:rowOff>
    </xdr:from>
    <xdr:to>
      <xdr:col>6</xdr:col>
      <xdr:colOff>13854</xdr:colOff>
      <xdr:row>27</xdr:row>
      <xdr:rowOff>62345</xdr:rowOff>
    </xdr:to>
    <xdr:sp macro="" textlink="'pivot table'!J42">
      <xdr:nvSpPr>
        <xdr:cNvPr id="1038" name="TextBox 1037">
          <a:extLst>
            <a:ext uri="{FF2B5EF4-FFF2-40B4-BE49-F238E27FC236}">
              <a16:creationId xmlns:a16="http://schemas.microsoft.com/office/drawing/2014/main" id="{2F3C4347-B7B0-58ED-AD9F-65317838CFE0}"/>
            </a:ext>
          </a:extLst>
        </xdr:cNvPr>
        <xdr:cNvSpPr txBox="1"/>
      </xdr:nvSpPr>
      <xdr:spPr>
        <a:xfrm>
          <a:off x="3214255" y="4689763"/>
          <a:ext cx="457199" cy="235527"/>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C01EDE-AF0A-4CFC-BF61-27C1E99450A6}" type="TxLink">
            <a:rPr lang="en-US" sz="1100" b="0" i="0" u="none" strike="noStrike">
              <a:solidFill>
                <a:schemeClr val="bg1"/>
              </a:solidFill>
              <a:latin typeface="Aptos Narrow"/>
            </a:rPr>
            <a:pPr/>
            <a:t>16%</a:t>
          </a:fld>
          <a:endParaRPr lang="en-US" sz="1100">
            <a:solidFill>
              <a:schemeClr val="bg1"/>
            </a:solidFill>
          </a:endParaRPr>
        </a:p>
      </xdr:txBody>
    </xdr:sp>
    <xdr:clientData/>
  </xdr:twoCellAnchor>
  <xdr:twoCellAnchor>
    <xdr:from>
      <xdr:col>5</xdr:col>
      <xdr:colOff>180112</xdr:colOff>
      <xdr:row>28</xdr:row>
      <xdr:rowOff>27710</xdr:rowOff>
    </xdr:from>
    <xdr:to>
      <xdr:col>6</xdr:col>
      <xdr:colOff>13856</xdr:colOff>
      <xdr:row>29</xdr:row>
      <xdr:rowOff>76201</xdr:rowOff>
    </xdr:to>
    <xdr:sp macro="" textlink="'pivot table'!J41">
      <xdr:nvSpPr>
        <xdr:cNvPr id="1039" name="TextBox 1038">
          <a:extLst>
            <a:ext uri="{FF2B5EF4-FFF2-40B4-BE49-F238E27FC236}">
              <a16:creationId xmlns:a16="http://schemas.microsoft.com/office/drawing/2014/main" id="{808BCF66-F11D-08DB-05FF-41E8A3136669}"/>
            </a:ext>
          </a:extLst>
        </xdr:cNvPr>
        <xdr:cNvSpPr txBox="1"/>
      </xdr:nvSpPr>
      <xdr:spPr>
        <a:xfrm>
          <a:off x="3228112" y="5070765"/>
          <a:ext cx="443344" cy="228600"/>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842ACE-909E-4092-B24B-A774CB2B0C78}" type="TxLink">
            <a:rPr lang="en-US" sz="1100" b="0" i="0" u="none" strike="noStrike">
              <a:solidFill>
                <a:schemeClr val="bg1"/>
              </a:solidFill>
              <a:latin typeface="Aptos Narrow"/>
            </a:rPr>
            <a:pPr/>
            <a:t>46%</a:t>
          </a:fld>
          <a:endParaRPr lang="en-US" sz="1100">
            <a:solidFill>
              <a:schemeClr val="bg1"/>
            </a:solidFill>
          </a:endParaRPr>
        </a:p>
      </xdr:txBody>
    </xdr:sp>
    <xdr:clientData/>
  </xdr:twoCellAnchor>
  <xdr:twoCellAnchor>
    <xdr:from>
      <xdr:col>9</xdr:col>
      <xdr:colOff>576965</xdr:colOff>
      <xdr:row>66</xdr:row>
      <xdr:rowOff>78201</xdr:rowOff>
    </xdr:from>
    <xdr:to>
      <xdr:col>11</xdr:col>
      <xdr:colOff>327044</xdr:colOff>
      <xdr:row>67</xdr:row>
      <xdr:rowOff>108681</xdr:rowOff>
    </xdr:to>
    <xdr:sp macro="" textlink="">
      <xdr:nvSpPr>
        <xdr:cNvPr id="1040" name="TextBox 1039">
          <a:extLst>
            <a:ext uri="{FF2B5EF4-FFF2-40B4-BE49-F238E27FC236}">
              <a16:creationId xmlns:a16="http://schemas.microsoft.com/office/drawing/2014/main" id="{F8F75B42-08E0-CA81-DD79-C555B3B9B840}"/>
            </a:ext>
          </a:extLst>
        </xdr:cNvPr>
        <xdr:cNvSpPr txBox="1"/>
      </xdr:nvSpPr>
      <xdr:spPr>
        <a:xfrm>
          <a:off x="6049510" y="12270201"/>
          <a:ext cx="966201" cy="215207"/>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bg1"/>
              </a:solidFill>
            </a:rPr>
            <a:t>  Head Office</a:t>
          </a:r>
        </a:p>
      </xdr:txBody>
    </xdr:sp>
    <xdr:clientData/>
  </xdr:twoCellAnchor>
  <xdr:twoCellAnchor editAs="oneCell">
    <xdr:from>
      <xdr:col>3</xdr:col>
      <xdr:colOff>54725</xdr:colOff>
      <xdr:row>0</xdr:row>
      <xdr:rowOff>156557</xdr:rowOff>
    </xdr:from>
    <xdr:to>
      <xdr:col>4</xdr:col>
      <xdr:colOff>47105</xdr:colOff>
      <xdr:row>4</xdr:row>
      <xdr:rowOff>29788</xdr:rowOff>
    </xdr:to>
    <xdr:pic>
      <xdr:nvPicPr>
        <xdr:cNvPr id="6" name="Picture 5" descr="Hr ">
          <a:extLst>
            <a:ext uri="{FF2B5EF4-FFF2-40B4-BE49-F238E27FC236}">
              <a16:creationId xmlns:a16="http://schemas.microsoft.com/office/drawing/2014/main" id="{DEFFCB52-DE57-3AC1-A588-BE1626833D3B}"/>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883525" y="156557"/>
          <a:ext cx="601980" cy="593667"/>
        </a:xfrm>
        <a:prstGeom prst="rect">
          <a:avLst/>
        </a:prstGeom>
        <a:noFill/>
        <a:ln>
          <a:solidFill>
            <a:schemeClr val="bg2">
              <a:lumMod val="25000"/>
            </a:schemeClr>
          </a:solidFill>
        </a:ln>
        <a:effectLst>
          <a:glow rad="101600">
            <a:schemeClr val="tx1">
              <a:lumMod val="85000"/>
              <a:lumOff val="15000"/>
              <a:alpha val="60000"/>
            </a:schemeClr>
          </a:glow>
        </a:effectLst>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352120</xdr:colOff>
      <xdr:row>65</xdr:row>
      <xdr:rowOff>71152</xdr:rowOff>
    </xdr:from>
    <xdr:to>
      <xdr:col>6</xdr:col>
      <xdr:colOff>223213</xdr:colOff>
      <xdr:row>66</xdr:row>
      <xdr:rowOff>84668</xdr:rowOff>
    </xdr:to>
    <xdr:sp macro="" textlink="">
      <xdr:nvSpPr>
        <xdr:cNvPr id="33" name="TextBox 32">
          <a:extLst>
            <a:ext uri="{FF2B5EF4-FFF2-40B4-BE49-F238E27FC236}">
              <a16:creationId xmlns:a16="http://schemas.microsoft.com/office/drawing/2014/main" id="{2CDE6664-5D3D-D730-5F54-EE16D0DDC6C7}"/>
            </a:ext>
          </a:extLst>
        </xdr:cNvPr>
        <xdr:cNvSpPr txBox="1"/>
      </xdr:nvSpPr>
      <xdr:spPr>
        <a:xfrm>
          <a:off x="3392423" y="12078425"/>
          <a:ext cx="479154" cy="198243"/>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bg1"/>
            </a:solidFill>
          </a:endParaRPr>
        </a:p>
      </xdr:txBody>
    </xdr:sp>
    <xdr:clientData/>
  </xdr:twoCellAnchor>
  <xdr:twoCellAnchor>
    <xdr:from>
      <xdr:col>9</xdr:col>
      <xdr:colOff>492608</xdr:colOff>
      <xdr:row>21</xdr:row>
      <xdr:rowOff>146243</xdr:rowOff>
    </xdr:from>
    <xdr:to>
      <xdr:col>9</xdr:col>
      <xdr:colOff>600365</xdr:colOff>
      <xdr:row>22</xdr:row>
      <xdr:rowOff>77355</xdr:rowOff>
    </xdr:to>
    <xdr:sp macro="" textlink="">
      <xdr:nvSpPr>
        <xdr:cNvPr id="41" name="Oval 40">
          <a:extLst>
            <a:ext uri="{FF2B5EF4-FFF2-40B4-BE49-F238E27FC236}">
              <a16:creationId xmlns:a16="http://schemas.microsoft.com/office/drawing/2014/main" id="{C1BDA014-54EA-4463-835F-721B38B10EEA}"/>
            </a:ext>
          </a:extLst>
        </xdr:cNvPr>
        <xdr:cNvSpPr/>
      </xdr:nvSpPr>
      <xdr:spPr>
        <a:xfrm>
          <a:off x="5965153" y="4025516"/>
          <a:ext cx="107757" cy="115839"/>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
            <a:solidFill>
              <a:srgbClr val="E5B244"/>
            </a:solidFill>
          </a:endParaRPr>
        </a:p>
      </xdr:txBody>
    </xdr:sp>
    <xdr:clientData/>
  </xdr:twoCellAnchor>
  <xdr:twoCellAnchor>
    <xdr:from>
      <xdr:col>6</xdr:col>
      <xdr:colOff>254000</xdr:colOff>
      <xdr:row>20</xdr:row>
      <xdr:rowOff>23092</xdr:rowOff>
    </xdr:from>
    <xdr:to>
      <xdr:col>10</xdr:col>
      <xdr:colOff>492605</xdr:colOff>
      <xdr:row>32</xdr:row>
      <xdr:rowOff>46182</xdr:rowOff>
    </xdr:to>
    <xdr:sp macro="" textlink="">
      <xdr:nvSpPr>
        <xdr:cNvPr id="45" name="Rectangle: Rounded Corners 44">
          <a:extLst>
            <a:ext uri="{FF2B5EF4-FFF2-40B4-BE49-F238E27FC236}">
              <a16:creationId xmlns:a16="http://schemas.microsoft.com/office/drawing/2014/main" id="{1F58739E-8408-3AD0-E7A1-4D9C0C35712F}"/>
            </a:ext>
          </a:extLst>
        </xdr:cNvPr>
        <xdr:cNvSpPr/>
      </xdr:nvSpPr>
      <xdr:spPr>
        <a:xfrm>
          <a:off x="3902364" y="3717637"/>
          <a:ext cx="2670847" cy="2239818"/>
        </a:xfrm>
        <a:prstGeom prst="roundRect">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361757</xdr:colOff>
      <xdr:row>21</xdr:row>
      <xdr:rowOff>23092</xdr:rowOff>
    </xdr:from>
    <xdr:to>
      <xdr:col>10</xdr:col>
      <xdr:colOff>354061</xdr:colOff>
      <xdr:row>31</xdr:row>
      <xdr:rowOff>53880</xdr:rowOff>
    </xdr:to>
    <xdr:graphicFrame macro="">
      <xdr:nvGraphicFramePr>
        <xdr:cNvPr id="3" name="Chart 2">
          <a:extLst>
            <a:ext uri="{FF2B5EF4-FFF2-40B4-BE49-F238E27FC236}">
              <a16:creationId xmlns:a16="http://schemas.microsoft.com/office/drawing/2014/main" id="{1E8EA07F-CA78-43FB-948D-11077B53D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592665</xdr:colOff>
      <xdr:row>20</xdr:row>
      <xdr:rowOff>53880</xdr:rowOff>
    </xdr:from>
    <xdr:to>
      <xdr:col>8</xdr:col>
      <xdr:colOff>469515</xdr:colOff>
      <xdr:row>22</xdr:row>
      <xdr:rowOff>69273</xdr:rowOff>
    </xdr:to>
    <xdr:sp macro="" textlink="">
      <xdr:nvSpPr>
        <xdr:cNvPr id="46" name="Rectangle: Rounded Corners 45">
          <a:extLst>
            <a:ext uri="{FF2B5EF4-FFF2-40B4-BE49-F238E27FC236}">
              <a16:creationId xmlns:a16="http://schemas.microsoft.com/office/drawing/2014/main" id="{D5A28DE6-9AE6-976A-F069-80842C9C6F08}"/>
            </a:ext>
          </a:extLst>
        </xdr:cNvPr>
        <xdr:cNvSpPr/>
      </xdr:nvSpPr>
      <xdr:spPr>
        <a:xfrm>
          <a:off x="4241029" y="3748425"/>
          <a:ext cx="1092971" cy="384848"/>
        </a:xfrm>
        <a:prstGeom prst="roundRect">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E5B244"/>
              </a:solidFill>
            </a:rPr>
            <a:t>Age Range</a:t>
          </a:r>
        </a:p>
      </xdr:txBody>
    </xdr:sp>
    <xdr:clientData/>
  </xdr:twoCellAnchor>
  <xdr:twoCellAnchor>
    <xdr:from>
      <xdr:col>8</xdr:col>
      <xdr:colOff>404784</xdr:colOff>
      <xdr:row>12</xdr:row>
      <xdr:rowOff>99368</xdr:rowOff>
    </xdr:from>
    <xdr:to>
      <xdr:col>10</xdr:col>
      <xdr:colOff>392546</xdr:colOff>
      <xdr:row>18</xdr:row>
      <xdr:rowOff>138545</xdr:rowOff>
    </xdr:to>
    <xdr:graphicFrame macro="">
      <xdr:nvGraphicFramePr>
        <xdr:cNvPr id="1028" name="Chart 1027">
          <a:extLst>
            <a:ext uri="{FF2B5EF4-FFF2-40B4-BE49-F238E27FC236}">
              <a16:creationId xmlns:a16="http://schemas.microsoft.com/office/drawing/2014/main" id="{D379D1CB-6DCD-4798-A185-C51F4F953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151785</xdr:colOff>
      <xdr:row>15</xdr:row>
      <xdr:rowOff>96982</xdr:rowOff>
    </xdr:from>
    <xdr:to>
      <xdr:col>9</xdr:col>
      <xdr:colOff>582661</xdr:colOff>
      <xdr:row>16</xdr:row>
      <xdr:rowOff>181264</xdr:rowOff>
    </xdr:to>
    <xdr:sp macro="" textlink="'pivot table'!E21">
      <xdr:nvSpPr>
        <xdr:cNvPr id="1029" name="TextBox 1028">
          <a:extLst>
            <a:ext uri="{FF2B5EF4-FFF2-40B4-BE49-F238E27FC236}">
              <a16:creationId xmlns:a16="http://schemas.microsoft.com/office/drawing/2014/main" id="{0B6A2E85-8C79-109A-FAFB-46060EF4FA9F}"/>
            </a:ext>
          </a:extLst>
        </xdr:cNvPr>
        <xdr:cNvSpPr txBox="1"/>
      </xdr:nvSpPr>
      <xdr:spPr>
        <a:xfrm>
          <a:off x="5624330" y="2867891"/>
          <a:ext cx="430876" cy="269009"/>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FEC9D4-C870-4EE5-AF4E-20E1347FA7D1}" type="TxLink">
            <a:rPr lang="en-US" sz="1100" b="0" i="0" u="none" strike="noStrike">
              <a:solidFill>
                <a:schemeClr val="bg1"/>
              </a:solidFill>
              <a:latin typeface="Aptos Narrow"/>
            </a:rPr>
            <a:pPr/>
            <a:t>52%</a:t>
          </a:fld>
          <a:endParaRPr lang="en-US" sz="1100">
            <a:solidFill>
              <a:schemeClr val="bg1"/>
            </a:solidFill>
          </a:endParaRPr>
        </a:p>
      </xdr:txBody>
    </xdr:sp>
    <xdr:clientData/>
  </xdr:twoCellAnchor>
  <xdr:twoCellAnchor>
    <xdr:from>
      <xdr:col>6</xdr:col>
      <xdr:colOff>174492</xdr:colOff>
      <xdr:row>12</xdr:row>
      <xdr:rowOff>92364</xdr:rowOff>
    </xdr:from>
    <xdr:to>
      <xdr:col>8</xdr:col>
      <xdr:colOff>130849</xdr:colOff>
      <xdr:row>18</xdr:row>
      <xdr:rowOff>123150</xdr:rowOff>
    </xdr:to>
    <xdr:graphicFrame macro="">
      <xdr:nvGraphicFramePr>
        <xdr:cNvPr id="1026" name="Chart 1025">
          <a:extLst>
            <a:ext uri="{FF2B5EF4-FFF2-40B4-BE49-F238E27FC236}">
              <a16:creationId xmlns:a16="http://schemas.microsoft.com/office/drawing/2014/main" id="{AF632784-5B30-4CD0-98F2-1B559A0A8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530859</xdr:colOff>
      <xdr:row>15</xdr:row>
      <xdr:rowOff>90823</xdr:rowOff>
    </xdr:from>
    <xdr:to>
      <xdr:col>7</xdr:col>
      <xdr:colOff>379999</xdr:colOff>
      <xdr:row>16</xdr:row>
      <xdr:rowOff>161251</xdr:rowOff>
    </xdr:to>
    <xdr:sp macro="" textlink="'pivot table'!B4">
      <xdr:nvSpPr>
        <xdr:cNvPr id="1027" name="TextBox 1026">
          <a:extLst>
            <a:ext uri="{FF2B5EF4-FFF2-40B4-BE49-F238E27FC236}">
              <a16:creationId xmlns:a16="http://schemas.microsoft.com/office/drawing/2014/main" id="{8157ABFD-F2D4-A9B6-E4DA-F682C2340B0E}"/>
            </a:ext>
          </a:extLst>
        </xdr:cNvPr>
        <xdr:cNvSpPr txBox="1"/>
      </xdr:nvSpPr>
      <xdr:spPr>
        <a:xfrm>
          <a:off x="4179223" y="2861732"/>
          <a:ext cx="457200" cy="255155"/>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4D9E4F-F985-4268-8C61-7E0220D2336A}" type="TxLink">
            <a:rPr lang="en-US" sz="1100" b="0" i="0" u="none" strike="noStrike">
              <a:solidFill>
                <a:schemeClr val="bg1"/>
              </a:solidFill>
              <a:latin typeface="Aptos Narrow"/>
            </a:rPr>
            <a:pPr/>
            <a:t>48%</a:t>
          </a:fld>
          <a:endParaRPr lang="en-US" sz="1100">
            <a:solidFill>
              <a:schemeClr val="bg1"/>
            </a:solidFill>
          </a:endParaRPr>
        </a:p>
      </xdr:txBody>
    </xdr:sp>
    <xdr:clientData/>
  </xdr:twoCellAnchor>
  <xdr:twoCellAnchor>
    <xdr:from>
      <xdr:col>6</xdr:col>
      <xdr:colOff>484910</xdr:colOff>
      <xdr:row>20</xdr:row>
      <xdr:rowOff>161637</xdr:rowOff>
    </xdr:from>
    <xdr:to>
      <xdr:col>7</xdr:col>
      <xdr:colOff>21630</xdr:colOff>
      <xdr:row>21</xdr:row>
      <xdr:rowOff>123536</xdr:rowOff>
    </xdr:to>
    <xdr:sp macro="" textlink="">
      <xdr:nvSpPr>
        <xdr:cNvPr id="57" name="Oval 56">
          <a:extLst>
            <a:ext uri="{FF2B5EF4-FFF2-40B4-BE49-F238E27FC236}">
              <a16:creationId xmlns:a16="http://schemas.microsoft.com/office/drawing/2014/main" id="{468BA345-79E6-4177-85B2-2D8B5991977E}"/>
            </a:ext>
          </a:extLst>
        </xdr:cNvPr>
        <xdr:cNvSpPr/>
      </xdr:nvSpPr>
      <xdr:spPr>
        <a:xfrm>
          <a:off x="4133274" y="3856182"/>
          <a:ext cx="144780" cy="146627"/>
        </a:xfrm>
        <a:prstGeom prst="ellipse">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607672</xdr:colOff>
      <xdr:row>21</xdr:row>
      <xdr:rowOff>75456</xdr:rowOff>
    </xdr:from>
    <xdr:to>
      <xdr:col>10</xdr:col>
      <xdr:colOff>2</xdr:colOff>
      <xdr:row>22</xdr:row>
      <xdr:rowOff>123152</xdr:rowOff>
    </xdr:to>
    <xdr:sp macro="" textlink="">
      <xdr:nvSpPr>
        <xdr:cNvPr id="20" name="TextBox 19">
          <a:extLst>
            <a:ext uri="{FF2B5EF4-FFF2-40B4-BE49-F238E27FC236}">
              <a16:creationId xmlns:a16="http://schemas.microsoft.com/office/drawing/2014/main" id="{A4974A0E-A6E8-64AA-A208-685CEE3B05A7}"/>
            </a:ext>
          </a:extLst>
        </xdr:cNvPr>
        <xdr:cNvSpPr txBox="1"/>
      </xdr:nvSpPr>
      <xdr:spPr>
        <a:xfrm>
          <a:off x="5472157" y="3954729"/>
          <a:ext cx="608451" cy="232423"/>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Female</a:t>
          </a:r>
        </a:p>
      </xdr:txBody>
    </xdr:sp>
    <xdr:clientData/>
  </xdr:twoCellAnchor>
  <xdr:twoCellAnchor>
    <xdr:from>
      <xdr:col>9</xdr:col>
      <xdr:colOff>590724</xdr:colOff>
      <xdr:row>21</xdr:row>
      <xdr:rowOff>94243</xdr:rowOff>
    </xdr:from>
    <xdr:to>
      <xdr:col>10</xdr:col>
      <xdr:colOff>461817</xdr:colOff>
      <xdr:row>22</xdr:row>
      <xdr:rowOff>107759</xdr:rowOff>
    </xdr:to>
    <xdr:sp macro="" textlink="">
      <xdr:nvSpPr>
        <xdr:cNvPr id="60" name="TextBox 59">
          <a:extLst>
            <a:ext uri="{FF2B5EF4-FFF2-40B4-BE49-F238E27FC236}">
              <a16:creationId xmlns:a16="http://schemas.microsoft.com/office/drawing/2014/main" id="{5BFB9EDA-02D6-FE09-A95A-C1FA47A84B33}"/>
            </a:ext>
          </a:extLst>
        </xdr:cNvPr>
        <xdr:cNvSpPr txBox="1"/>
      </xdr:nvSpPr>
      <xdr:spPr>
        <a:xfrm>
          <a:off x="6063269" y="3973516"/>
          <a:ext cx="479154" cy="198243"/>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Male</a:t>
          </a:r>
        </a:p>
      </xdr:txBody>
    </xdr:sp>
    <xdr:clientData/>
  </xdr:twoCellAnchor>
  <xdr:twoCellAnchor>
    <xdr:from>
      <xdr:col>8</xdr:col>
      <xdr:colOff>553793</xdr:colOff>
      <xdr:row>21</xdr:row>
      <xdr:rowOff>83154</xdr:rowOff>
    </xdr:from>
    <xdr:to>
      <xdr:col>9</xdr:col>
      <xdr:colOff>569576</xdr:colOff>
      <xdr:row>22</xdr:row>
      <xdr:rowOff>130849</xdr:rowOff>
    </xdr:to>
    <xdr:sp macro="" textlink="">
      <xdr:nvSpPr>
        <xdr:cNvPr id="61" name="TextBox 60">
          <a:extLst>
            <a:ext uri="{FF2B5EF4-FFF2-40B4-BE49-F238E27FC236}">
              <a16:creationId xmlns:a16="http://schemas.microsoft.com/office/drawing/2014/main" id="{AE916A05-6F11-93E3-5C5F-2F8A356BC723}"/>
            </a:ext>
          </a:extLst>
        </xdr:cNvPr>
        <xdr:cNvSpPr txBox="1"/>
      </xdr:nvSpPr>
      <xdr:spPr>
        <a:xfrm>
          <a:off x="5418278" y="3962427"/>
          <a:ext cx="623843" cy="232422"/>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bg1"/>
              </a:solidFill>
            </a:rPr>
            <a:t>Female</a:t>
          </a:r>
        </a:p>
      </xdr:txBody>
    </xdr:sp>
    <xdr:clientData/>
  </xdr:twoCellAnchor>
  <xdr:twoCellAnchor>
    <xdr:from>
      <xdr:col>8</xdr:col>
      <xdr:colOff>531092</xdr:colOff>
      <xdr:row>21</xdr:row>
      <xdr:rowOff>161636</xdr:rowOff>
    </xdr:from>
    <xdr:to>
      <xdr:col>9</xdr:col>
      <xdr:colOff>30789</xdr:colOff>
      <xdr:row>22</xdr:row>
      <xdr:rowOff>92748</xdr:rowOff>
    </xdr:to>
    <xdr:sp macro="" textlink="">
      <xdr:nvSpPr>
        <xdr:cNvPr id="38" name="Oval 37">
          <a:extLst>
            <a:ext uri="{FF2B5EF4-FFF2-40B4-BE49-F238E27FC236}">
              <a16:creationId xmlns:a16="http://schemas.microsoft.com/office/drawing/2014/main" id="{ED0C6475-2120-4952-A5D6-873205764F20}"/>
            </a:ext>
          </a:extLst>
        </xdr:cNvPr>
        <xdr:cNvSpPr/>
      </xdr:nvSpPr>
      <xdr:spPr>
        <a:xfrm>
          <a:off x="5395577" y="4040909"/>
          <a:ext cx="107757" cy="115839"/>
        </a:xfrm>
        <a:prstGeom prst="ellipse">
          <a:avLst/>
        </a:prstGeom>
        <a:solidFill>
          <a:srgbClr val="E5B2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
            <a:solidFill>
              <a:srgbClr val="E5B244"/>
            </a:solidFill>
          </a:endParaRPr>
        </a:p>
      </xdr:txBody>
    </xdr:sp>
    <xdr:clientData/>
  </xdr:twoCellAnchor>
  <xdr:twoCellAnchor>
    <xdr:from>
      <xdr:col>9</xdr:col>
      <xdr:colOff>561880</xdr:colOff>
      <xdr:row>21</xdr:row>
      <xdr:rowOff>169333</xdr:rowOff>
    </xdr:from>
    <xdr:to>
      <xdr:col>10</xdr:col>
      <xdr:colOff>61576</xdr:colOff>
      <xdr:row>22</xdr:row>
      <xdr:rowOff>100445</xdr:rowOff>
    </xdr:to>
    <xdr:sp macro="" textlink="">
      <xdr:nvSpPr>
        <xdr:cNvPr id="62" name="Oval 61">
          <a:extLst>
            <a:ext uri="{FF2B5EF4-FFF2-40B4-BE49-F238E27FC236}">
              <a16:creationId xmlns:a16="http://schemas.microsoft.com/office/drawing/2014/main" id="{5D0CB4FC-D170-48F3-A033-03CCD19206A9}"/>
            </a:ext>
          </a:extLst>
        </xdr:cNvPr>
        <xdr:cNvSpPr/>
      </xdr:nvSpPr>
      <xdr:spPr>
        <a:xfrm>
          <a:off x="6034425" y="4048606"/>
          <a:ext cx="107757" cy="115839"/>
        </a:xfrm>
        <a:prstGeom prst="ellipse">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
            <a:solidFill>
              <a:srgbClr val="E5B244"/>
            </a:solidFill>
          </a:endParaRPr>
        </a:p>
      </xdr:txBody>
    </xdr:sp>
    <xdr:clientData/>
  </xdr:twoCellAnchor>
  <xdr:twoCellAnchor>
    <xdr:from>
      <xdr:col>11</xdr:col>
      <xdr:colOff>61575</xdr:colOff>
      <xdr:row>5</xdr:row>
      <xdr:rowOff>100061</xdr:rowOff>
    </xdr:from>
    <xdr:to>
      <xdr:col>15</xdr:col>
      <xdr:colOff>338667</xdr:colOff>
      <xdr:row>19</xdr:row>
      <xdr:rowOff>84667</xdr:rowOff>
    </xdr:to>
    <xdr:sp macro="" textlink="">
      <xdr:nvSpPr>
        <xdr:cNvPr id="10" name="Rectangle: Rounded Corners 9">
          <a:extLst>
            <a:ext uri="{FF2B5EF4-FFF2-40B4-BE49-F238E27FC236}">
              <a16:creationId xmlns:a16="http://schemas.microsoft.com/office/drawing/2014/main" id="{D698770D-4B97-806C-B927-1A327279A350}"/>
            </a:ext>
          </a:extLst>
        </xdr:cNvPr>
        <xdr:cNvSpPr/>
      </xdr:nvSpPr>
      <xdr:spPr>
        <a:xfrm>
          <a:off x="6750242" y="1023697"/>
          <a:ext cx="2709334" cy="2570788"/>
        </a:xfrm>
        <a:prstGeom prst="roundRect">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161637</xdr:colOff>
      <xdr:row>7</xdr:row>
      <xdr:rowOff>92364</xdr:rowOff>
    </xdr:from>
    <xdr:to>
      <xdr:col>15</xdr:col>
      <xdr:colOff>184727</xdr:colOff>
      <xdr:row>16</xdr:row>
      <xdr:rowOff>84667</xdr:rowOff>
    </xdr:to>
    <xdr:graphicFrame macro="">
      <xdr:nvGraphicFramePr>
        <xdr:cNvPr id="53" name="Chart 52">
          <a:extLst>
            <a:ext uri="{FF2B5EF4-FFF2-40B4-BE49-F238E27FC236}">
              <a16:creationId xmlns:a16="http://schemas.microsoft.com/office/drawing/2014/main" id="{9E319D4B-3497-40D5-AAB7-50E3F8041B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323272</xdr:colOff>
      <xdr:row>16</xdr:row>
      <xdr:rowOff>61576</xdr:rowOff>
    </xdr:from>
    <xdr:to>
      <xdr:col>12</xdr:col>
      <xdr:colOff>346364</xdr:colOff>
      <xdr:row>17</xdr:row>
      <xdr:rowOff>138545</xdr:rowOff>
    </xdr:to>
    <xdr:sp macro="" textlink="">
      <xdr:nvSpPr>
        <xdr:cNvPr id="56" name="TextBox 55">
          <a:extLst>
            <a:ext uri="{FF2B5EF4-FFF2-40B4-BE49-F238E27FC236}">
              <a16:creationId xmlns:a16="http://schemas.microsoft.com/office/drawing/2014/main" id="{E92AEA3F-F2CF-53D7-44A6-983D5BE8D0E5}"/>
            </a:ext>
          </a:extLst>
        </xdr:cNvPr>
        <xdr:cNvSpPr txBox="1"/>
      </xdr:nvSpPr>
      <xdr:spPr>
        <a:xfrm>
          <a:off x="7011939" y="3017212"/>
          <a:ext cx="631152" cy="261697"/>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Analyst</a:t>
          </a:r>
        </a:p>
      </xdr:txBody>
    </xdr:sp>
    <xdr:clientData/>
  </xdr:twoCellAnchor>
  <xdr:twoCellAnchor>
    <xdr:from>
      <xdr:col>12</xdr:col>
      <xdr:colOff>369456</xdr:colOff>
      <xdr:row>16</xdr:row>
      <xdr:rowOff>69273</xdr:rowOff>
    </xdr:from>
    <xdr:to>
      <xdr:col>13</xdr:col>
      <xdr:colOff>492606</xdr:colOff>
      <xdr:row>17</xdr:row>
      <xdr:rowOff>169333</xdr:rowOff>
    </xdr:to>
    <xdr:sp macro="" textlink="">
      <xdr:nvSpPr>
        <xdr:cNvPr id="58" name="TextBox 57">
          <a:extLst>
            <a:ext uri="{FF2B5EF4-FFF2-40B4-BE49-F238E27FC236}">
              <a16:creationId xmlns:a16="http://schemas.microsoft.com/office/drawing/2014/main" id="{D2404673-3A3A-51B9-3839-B9FB6BA48962}"/>
            </a:ext>
          </a:extLst>
        </xdr:cNvPr>
        <xdr:cNvSpPr txBox="1"/>
      </xdr:nvSpPr>
      <xdr:spPr>
        <a:xfrm>
          <a:off x="7666183" y="3024909"/>
          <a:ext cx="731211" cy="284788"/>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Desinger</a:t>
          </a:r>
        </a:p>
      </xdr:txBody>
    </xdr:sp>
    <xdr:clientData/>
  </xdr:twoCellAnchor>
  <xdr:twoCellAnchor>
    <xdr:from>
      <xdr:col>13</xdr:col>
      <xdr:colOff>508000</xdr:colOff>
      <xdr:row>16</xdr:row>
      <xdr:rowOff>61576</xdr:rowOff>
    </xdr:from>
    <xdr:to>
      <xdr:col>15</xdr:col>
      <xdr:colOff>92364</xdr:colOff>
      <xdr:row>17</xdr:row>
      <xdr:rowOff>123151</xdr:rowOff>
    </xdr:to>
    <xdr:sp macro="" textlink="">
      <xdr:nvSpPr>
        <xdr:cNvPr id="59" name="TextBox 58">
          <a:extLst>
            <a:ext uri="{FF2B5EF4-FFF2-40B4-BE49-F238E27FC236}">
              <a16:creationId xmlns:a16="http://schemas.microsoft.com/office/drawing/2014/main" id="{666BBE5F-14D1-EBB5-AB33-8206D0C54C27}"/>
            </a:ext>
          </a:extLst>
        </xdr:cNvPr>
        <xdr:cNvSpPr txBox="1"/>
      </xdr:nvSpPr>
      <xdr:spPr>
        <a:xfrm>
          <a:off x="8412788" y="3017212"/>
          <a:ext cx="800485" cy="246303"/>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Developer</a:t>
          </a:r>
        </a:p>
      </xdr:txBody>
    </xdr:sp>
    <xdr:clientData/>
  </xdr:twoCellAnchor>
  <xdr:twoCellAnchor>
    <xdr:from>
      <xdr:col>11</xdr:col>
      <xdr:colOff>361759</xdr:colOff>
      <xdr:row>17</xdr:row>
      <xdr:rowOff>138546</xdr:rowOff>
    </xdr:from>
    <xdr:to>
      <xdr:col>13</xdr:col>
      <xdr:colOff>100062</xdr:colOff>
      <xdr:row>19</xdr:row>
      <xdr:rowOff>15396</xdr:rowOff>
    </xdr:to>
    <xdr:sp macro="" textlink="">
      <xdr:nvSpPr>
        <xdr:cNvPr id="63" name="TextBox 62">
          <a:extLst>
            <a:ext uri="{FF2B5EF4-FFF2-40B4-BE49-F238E27FC236}">
              <a16:creationId xmlns:a16="http://schemas.microsoft.com/office/drawing/2014/main" id="{EF04CAF0-D89B-E15A-8C5D-336E05736E43}"/>
            </a:ext>
          </a:extLst>
        </xdr:cNvPr>
        <xdr:cNvSpPr txBox="1"/>
      </xdr:nvSpPr>
      <xdr:spPr>
        <a:xfrm>
          <a:off x="7050426" y="3278910"/>
          <a:ext cx="954424" cy="246304"/>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solidFill>
              <a:effectLst/>
              <a:latin typeface="+mn-lt"/>
              <a:ea typeface="+mn-ea"/>
              <a:cs typeface="+mn-cs"/>
            </a:rPr>
            <a:t>HR Specialist</a:t>
          </a:r>
          <a:r>
            <a:rPr lang="en-US">
              <a:solidFill>
                <a:schemeClr val="bg1"/>
              </a:solidFill>
              <a:effectLst/>
            </a:rPr>
            <a:t> </a:t>
          </a:r>
          <a:endParaRPr lang="en-US" sz="1100">
            <a:solidFill>
              <a:schemeClr val="bg1"/>
            </a:solidFill>
          </a:endParaRPr>
        </a:p>
      </xdr:txBody>
    </xdr:sp>
    <xdr:clientData/>
  </xdr:twoCellAnchor>
  <xdr:twoCellAnchor>
    <xdr:from>
      <xdr:col>13</xdr:col>
      <xdr:colOff>330971</xdr:colOff>
      <xdr:row>17</xdr:row>
      <xdr:rowOff>130849</xdr:rowOff>
    </xdr:from>
    <xdr:to>
      <xdr:col>14</xdr:col>
      <xdr:colOff>384849</xdr:colOff>
      <xdr:row>19</xdr:row>
      <xdr:rowOff>15395</xdr:rowOff>
    </xdr:to>
    <xdr:sp macro="" textlink="">
      <xdr:nvSpPr>
        <xdr:cNvPr id="1041" name="TextBox 1040">
          <a:extLst>
            <a:ext uri="{FF2B5EF4-FFF2-40B4-BE49-F238E27FC236}">
              <a16:creationId xmlns:a16="http://schemas.microsoft.com/office/drawing/2014/main" id="{81F72F39-5908-17F6-53CA-A4C58757008B}"/>
            </a:ext>
          </a:extLst>
        </xdr:cNvPr>
        <xdr:cNvSpPr txBox="1"/>
      </xdr:nvSpPr>
      <xdr:spPr>
        <a:xfrm>
          <a:off x="8235759" y="3271213"/>
          <a:ext cx="661938" cy="254000"/>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Manger</a:t>
          </a:r>
        </a:p>
      </xdr:txBody>
    </xdr:sp>
    <xdr:clientData/>
  </xdr:twoCellAnchor>
  <xdr:twoCellAnchor>
    <xdr:from>
      <xdr:col>11</xdr:col>
      <xdr:colOff>284787</xdr:colOff>
      <xdr:row>16</xdr:row>
      <xdr:rowOff>138546</xdr:rowOff>
    </xdr:from>
    <xdr:to>
      <xdr:col>11</xdr:col>
      <xdr:colOff>392544</xdr:colOff>
      <xdr:row>17</xdr:row>
      <xdr:rowOff>69657</xdr:rowOff>
    </xdr:to>
    <xdr:sp macro="" textlink="">
      <xdr:nvSpPr>
        <xdr:cNvPr id="55" name="Oval 54">
          <a:extLst>
            <a:ext uri="{FF2B5EF4-FFF2-40B4-BE49-F238E27FC236}">
              <a16:creationId xmlns:a16="http://schemas.microsoft.com/office/drawing/2014/main" id="{6A5A8946-BD22-4C02-B4D3-48A2C43C786D}"/>
            </a:ext>
          </a:extLst>
        </xdr:cNvPr>
        <xdr:cNvSpPr/>
      </xdr:nvSpPr>
      <xdr:spPr>
        <a:xfrm>
          <a:off x="6973454" y="3094182"/>
          <a:ext cx="107757" cy="115839"/>
        </a:xfrm>
        <a:prstGeom prst="ellipse">
          <a:avLst/>
        </a:prstGeom>
        <a:solidFill>
          <a:srgbClr val="285A48"/>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
            <a:solidFill>
              <a:srgbClr val="E5B244"/>
            </a:solidFill>
          </a:endParaRPr>
        </a:p>
      </xdr:txBody>
    </xdr:sp>
    <xdr:clientData/>
  </xdr:twoCellAnchor>
  <xdr:twoCellAnchor>
    <xdr:from>
      <xdr:col>12</xdr:col>
      <xdr:colOff>323274</xdr:colOff>
      <xdr:row>16</xdr:row>
      <xdr:rowOff>138546</xdr:rowOff>
    </xdr:from>
    <xdr:to>
      <xdr:col>12</xdr:col>
      <xdr:colOff>431031</xdr:colOff>
      <xdr:row>17</xdr:row>
      <xdr:rowOff>69657</xdr:rowOff>
    </xdr:to>
    <xdr:sp macro="" textlink="">
      <xdr:nvSpPr>
        <xdr:cNvPr id="1043" name="Oval 1042">
          <a:extLst>
            <a:ext uri="{FF2B5EF4-FFF2-40B4-BE49-F238E27FC236}">
              <a16:creationId xmlns:a16="http://schemas.microsoft.com/office/drawing/2014/main" id="{96B409D1-C218-41EB-9340-818B3CC71364}"/>
            </a:ext>
          </a:extLst>
        </xdr:cNvPr>
        <xdr:cNvSpPr/>
      </xdr:nvSpPr>
      <xdr:spPr>
        <a:xfrm>
          <a:off x="7620001" y="3094182"/>
          <a:ext cx="107757" cy="115839"/>
        </a:xfrm>
        <a:prstGeom prst="ellipse">
          <a:avLst/>
        </a:prstGeom>
        <a:solidFill>
          <a:schemeClr val="bg1">
            <a:lumMod val="50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
            <a:solidFill>
              <a:srgbClr val="E5B244"/>
            </a:solidFill>
          </a:endParaRPr>
        </a:p>
      </xdr:txBody>
    </xdr:sp>
    <xdr:clientData/>
  </xdr:twoCellAnchor>
  <xdr:twoCellAnchor>
    <xdr:from>
      <xdr:col>13</xdr:col>
      <xdr:colOff>461819</xdr:colOff>
      <xdr:row>16</xdr:row>
      <xdr:rowOff>138547</xdr:rowOff>
    </xdr:from>
    <xdr:to>
      <xdr:col>13</xdr:col>
      <xdr:colOff>569576</xdr:colOff>
      <xdr:row>17</xdr:row>
      <xdr:rowOff>69658</xdr:rowOff>
    </xdr:to>
    <xdr:sp macro="" textlink="">
      <xdr:nvSpPr>
        <xdr:cNvPr id="1044" name="Oval 1043">
          <a:extLst>
            <a:ext uri="{FF2B5EF4-FFF2-40B4-BE49-F238E27FC236}">
              <a16:creationId xmlns:a16="http://schemas.microsoft.com/office/drawing/2014/main" id="{1697BD5A-7A78-4E07-935B-952DFF0071B3}"/>
            </a:ext>
          </a:extLst>
        </xdr:cNvPr>
        <xdr:cNvSpPr/>
      </xdr:nvSpPr>
      <xdr:spPr>
        <a:xfrm>
          <a:off x="8366607" y="3094183"/>
          <a:ext cx="107757" cy="115839"/>
        </a:xfrm>
        <a:prstGeom prst="ellipse">
          <a:avLst/>
        </a:prstGeom>
        <a:solidFill>
          <a:srgbClr val="4C5C2D"/>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
            <a:solidFill>
              <a:srgbClr val="E5B244"/>
            </a:solidFill>
          </a:endParaRPr>
        </a:p>
      </xdr:txBody>
    </xdr:sp>
    <xdr:clientData/>
  </xdr:twoCellAnchor>
  <xdr:twoCellAnchor>
    <xdr:from>
      <xdr:col>11</xdr:col>
      <xdr:colOff>307879</xdr:colOff>
      <xdr:row>18</xdr:row>
      <xdr:rowOff>38485</xdr:rowOff>
    </xdr:from>
    <xdr:to>
      <xdr:col>11</xdr:col>
      <xdr:colOff>415636</xdr:colOff>
      <xdr:row>18</xdr:row>
      <xdr:rowOff>154324</xdr:rowOff>
    </xdr:to>
    <xdr:sp macro="" textlink="">
      <xdr:nvSpPr>
        <xdr:cNvPr id="1045" name="Oval 1044">
          <a:extLst>
            <a:ext uri="{FF2B5EF4-FFF2-40B4-BE49-F238E27FC236}">
              <a16:creationId xmlns:a16="http://schemas.microsoft.com/office/drawing/2014/main" id="{45B86C29-2742-4CAB-8022-91425C988873}"/>
            </a:ext>
          </a:extLst>
        </xdr:cNvPr>
        <xdr:cNvSpPr/>
      </xdr:nvSpPr>
      <xdr:spPr>
        <a:xfrm>
          <a:off x="6996546" y="3363576"/>
          <a:ext cx="107757" cy="115839"/>
        </a:xfrm>
        <a:prstGeom prst="ellipse">
          <a:avLst/>
        </a:prstGeom>
        <a:solidFill>
          <a:schemeClr val="bg1">
            <a:lumMod val="8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
            <a:solidFill>
              <a:srgbClr val="E5B244"/>
            </a:solidFill>
          </a:endParaRPr>
        </a:p>
      </xdr:txBody>
    </xdr:sp>
    <xdr:clientData/>
  </xdr:twoCellAnchor>
  <xdr:twoCellAnchor>
    <xdr:from>
      <xdr:col>13</xdr:col>
      <xdr:colOff>277092</xdr:colOff>
      <xdr:row>18</xdr:row>
      <xdr:rowOff>30789</xdr:rowOff>
    </xdr:from>
    <xdr:to>
      <xdr:col>13</xdr:col>
      <xdr:colOff>384849</xdr:colOff>
      <xdr:row>18</xdr:row>
      <xdr:rowOff>146628</xdr:rowOff>
    </xdr:to>
    <xdr:sp macro="" textlink="">
      <xdr:nvSpPr>
        <xdr:cNvPr id="1046" name="Oval 1045">
          <a:extLst>
            <a:ext uri="{FF2B5EF4-FFF2-40B4-BE49-F238E27FC236}">
              <a16:creationId xmlns:a16="http://schemas.microsoft.com/office/drawing/2014/main" id="{25697417-9052-413D-A6A9-DCFF57E33FAB}"/>
            </a:ext>
          </a:extLst>
        </xdr:cNvPr>
        <xdr:cNvSpPr/>
      </xdr:nvSpPr>
      <xdr:spPr>
        <a:xfrm>
          <a:off x="8181880" y="3355880"/>
          <a:ext cx="107757" cy="115839"/>
        </a:xfrm>
        <a:prstGeom prst="ellipse">
          <a:avLst/>
        </a:prstGeom>
        <a:solidFill>
          <a:srgbClr val="E5B244"/>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
            <a:solidFill>
              <a:srgbClr val="E5B244"/>
            </a:solidFill>
          </a:endParaRPr>
        </a:p>
      </xdr:txBody>
    </xdr:sp>
    <xdr:clientData/>
  </xdr:twoCellAnchor>
  <xdr:twoCellAnchor>
    <xdr:from>
      <xdr:col>11</xdr:col>
      <xdr:colOff>454119</xdr:colOff>
      <xdr:row>6</xdr:row>
      <xdr:rowOff>0</xdr:rowOff>
    </xdr:from>
    <xdr:to>
      <xdr:col>15</xdr:col>
      <xdr:colOff>169333</xdr:colOff>
      <xdr:row>7</xdr:row>
      <xdr:rowOff>100061</xdr:rowOff>
    </xdr:to>
    <xdr:sp macro="" textlink="">
      <xdr:nvSpPr>
        <xdr:cNvPr id="1049" name="TextBox 1048">
          <a:extLst>
            <a:ext uri="{FF2B5EF4-FFF2-40B4-BE49-F238E27FC236}">
              <a16:creationId xmlns:a16="http://schemas.microsoft.com/office/drawing/2014/main" id="{11308CB0-2CF9-A3A6-15CF-4B27E4538CBD}"/>
            </a:ext>
          </a:extLst>
        </xdr:cNvPr>
        <xdr:cNvSpPr txBox="1"/>
      </xdr:nvSpPr>
      <xdr:spPr>
        <a:xfrm>
          <a:off x="7142786" y="1108364"/>
          <a:ext cx="2147456" cy="284788"/>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E5B244"/>
              </a:solidFill>
            </a:rPr>
            <a:t>Leave taken by job</a:t>
          </a:r>
          <a:r>
            <a:rPr lang="en-US" sz="1600" b="1" baseline="0">
              <a:solidFill>
                <a:srgbClr val="E5B244"/>
              </a:solidFill>
            </a:rPr>
            <a:t> title</a:t>
          </a:r>
          <a:endParaRPr lang="en-US" sz="1600" b="1">
            <a:solidFill>
              <a:srgbClr val="E5B244"/>
            </a:solidFill>
          </a:endParaRPr>
        </a:p>
      </xdr:txBody>
    </xdr:sp>
    <xdr:clientData/>
  </xdr:twoCellAnchor>
  <xdr:twoCellAnchor>
    <xdr:from>
      <xdr:col>11</xdr:col>
      <xdr:colOff>315575</xdr:colOff>
      <xdr:row>6</xdr:row>
      <xdr:rowOff>107758</xdr:rowOff>
    </xdr:from>
    <xdr:to>
      <xdr:col>11</xdr:col>
      <xdr:colOff>469515</xdr:colOff>
      <xdr:row>7</xdr:row>
      <xdr:rowOff>69273</xdr:rowOff>
    </xdr:to>
    <xdr:sp macro="" textlink="">
      <xdr:nvSpPr>
        <xdr:cNvPr id="1048" name="Oval 1047">
          <a:extLst>
            <a:ext uri="{FF2B5EF4-FFF2-40B4-BE49-F238E27FC236}">
              <a16:creationId xmlns:a16="http://schemas.microsoft.com/office/drawing/2014/main" id="{2B543853-2843-4996-B647-06B6C1B1B450}"/>
            </a:ext>
          </a:extLst>
        </xdr:cNvPr>
        <xdr:cNvSpPr/>
      </xdr:nvSpPr>
      <xdr:spPr>
        <a:xfrm>
          <a:off x="7004242" y="1216122"/>
          <a:ext cx="153940" cy="146242"/>
        </a:xfrm>
        <a:prstGeom prst="ellipse">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46181</xdr:colOff>
      <xdr:row>20</xdr:row>
      <xdr:rowOff>15394</xdr:rowOff>
    </xdr:from>
    <xdr:to>
      <xdr:col>15</xdr:col>
      <xdr:colOff>261697</xdr:colOff>
      <xdr:row>32</xdr:row>
      <xdr:rowOff>38484</xdr:rowOff>
    </xdr:to>
    <xdr:sp macro="" textlink="">
      <xdr:nvSpPr>
        <xdr:cNvPr id="1050" name="Rectangle: Rounded Corners 1049">
          <a:extLst>
            <a:ext uri="{FF2B5EF4-FFF2-40B4-BE49-F238E27FC236}">
              <a16:creationId xmlns:a16="http://schemas.microsoft.com/office/drawing/2014/main" id="{D035B65B-D22F-CD6C-0841-9F1D26BADF59}"/>
            </a:ext>
          </a:extLst>
        </xdr:cNvPr>
        <xdr:cNvSpPr/>
      </xdr:nvSpPr>
      <xdr:spPr>
        <a:xfrm>
          <a:off x="6734848" y="3709939"/>
          <a:ext cx="2647758" cy="2239818"/>
        </a:xfrm>
        <a:prstGeom prst="roundRect">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215515</xdr:colOff>
      <xdr:row>21</xdr:row>
      <xdr:rowOff>100060</xdr:rowOff>
    </xdr:from>
    <xdr:to>
      <xdr:col>13</xdr:col>
      <xdr:colOff>115454</xdr:colOff>
      <xdr:row>31</xdr:row>
      <xdr:rowOff>76969</xdr:rowOff>
    </xdr:to>
    <xdr:sp macro="" textlink="">
      <xdr:nvSpPr>
        <xdr:cNvPr id="1052" name="TextBox 1051">
          <a:extLst>
            <a:ext uri="{FF2B5EF4-FFF2-40B4-BE49-F238E27FC236}">
              <a16:creationId xmlns:a16="http://schemas.microsoft.com/office/drawing/2014/main" id="{D9B84F7C-223A-2342-9E6C-72C35C1CB24E}"/>
            </a:ext>
          </a:extLst>
        </xdr:cNvPr>
        <xdr:cNvSpPr txBox="1"/>
      </xdr:nvSpPr>
      <xdr:spPr>
        <a:xfrm>
          <a:off x="6904182" y="3979333"/>
          <a:ext cx="1116060" cy="1824181"/>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bg1"/>
              </a:solidFill>
              <a:effectLst/>
              <a:latin typeface="+mn-lt"/>
              <a:ea typeface="+mn-ea"/>
              <a:cs typeface="+mn-cs"/>
            </a:rPr>
            <a:t>Analyst                  </a:t>
          </a:r>
        </a:p>
        <a:p>
          <a:endParaRPr lang="en-US" sz="1200" b="1" i="0" u="none" strike="noStrike">
            <a:solidFill>
              <a:schemeClr val="bg1"/>
            </a:solidFill>
            <a:effectLst/>
            <a:latin typeface="+mn-lt"/>
            <a:ea typeface="+mn-ea"/>
            <a:cs typeface="+mn-cs"/>
          </a:endParaRPr>
        </a:p>
        <a:p>
          <a:r>
            <a:rPr lang="en-US" sz="1200" b="1" i="0" u="none" strike="noStrike">
              <a:solidFill>
                <a:schemeClr val="bg1"/>
              </a:solidFill>
              <a:effectLst/>
              <a:latin typeface="+mn-lt"/>
              <a:ea typeface="+mn-ea"/>
              <a:cs typeface="+mn-cs"/>
            </a:rPr>
            <a:t>Designer</a:t>
          </a:r>
          <a:r>
            <a:rPr lang="en-US" sz="1200" b="1">
              <a:solidFill>
                <a:schemeClr val="bg1"/>
              </a:solidFill>
              <a:effectLst/>
            </a:rPr>
            <a:t> </a:t>
          </a:r>
        </a:p>
        <a:p>
          <a:endParaRPr lang="en-US" sz="1200" b="1" i="0" u="none" strike="noStrike">
            <a:solidFill>
              <a:schemeClr val="bg1"/>
            </a:solidFill>
            <a:effectLst/>
            <a:latin typeface="+mn-lt"/>
            <a:ea typeface="+mn-ea"/>
            <a:cs typeface="+mn-cs"/>
          </a:endParaRPr>
        </a:p>
        <a:p>
          <a:r>
            <a:rPr lang="en-US" sz="1200" b="1" i="0" u="none" strike="noStrike">
              <a:solidFill>
                <a:schemeClr val="bg1"/>
              </a:solidFill>
              <a:effectLst/>
              <a:latin typeface="+mn-lt"/>
              <a:ea typeface="+mn-ea"/>
              <a:cs typeface="+mn-cs"/>
            </a:rPr>
            <a:t>Developer</a:t>
          </a:r>
        </a:p>
        <a:p>
          <a:endParaRPr lang="en-US" sz="1200" b="1" i="0" u="none" strike="noStrike">
            <a:solidFill>
              <a:schemeClr val="bg1"/>
            </a:solidFill>
            <a:effectLst/>
            <a:latin typeface="+mn-lt"/>
            <a:ea typeface="+mn-ea"/>
            <a:cs typeface="+mn-cs"/>
          </a:endParaRPr>
        </a:p>
        <a:p>
          <a:r>
            <a:rPr lang="en-US" sz="1200" b="1" i="0" u="none" strike="noStrike">
              <a:solidFill>
                <a:schemeClr val="bg1"/>
              </a:solidFill>
              <a:effectLst/>
              <a:latin typeface="+mn-lt"/>
              <a:ea typeface="+mn-ea"/>
              <a:cs typeface="+mn-cs"/>
            </a:rPr>
            <a:t>HR Specialist</a:t>
          </a:r>
          <a:r>
            <a:rPr lang="en-US" sz="1200" b="1">
              <a:solidFill>
                <a:schemeClr val="bg1"/>
              </a:solidFill>
              <a:effectLst/>
            </a:rPr>
            <a:t> </a:t>
          </a:r>
        </a:p>
        <a:p>
          <a:endParaRPr lang="en-US" sz="1200" b="1" i="0" u="none" strike="noStrike">
            <a:solidFill>
              <a:schemeClr val="bg1"/>
            </a:solidFill>
            <a:effectLst/>
            <a:latin typeface="+mn-lt"/>
            <a:ea typeface="+mn-ea"/>
            <a:cs typeface="+mn-cs"/>
          </a:endParaRPr>
        </a:p>
        <a:p>
          <a:r>
            <a:rPr lang="en-US" sz="1200" b="1" i="0" u="none" strike="noStrike">
              <a:solidFill>
                <a:schemeClr val="bg1"/>
              </a:solidFill>
              <a:effectLst/>
              <a:latin typeface="+mn-lt"/>
              <a:ea typeface="+mn-ea"/>
              <a:cs typeface="+mn-cs"/>
            </a:rPr>
            <a:t>Manager</a:t>
          </a:r>
          <a:r>
            <a:rPr lang="en-US" sz="1200" b="1">
              <a:solidFill>
                <a:schemeClr val="bg1"/>
              </a:solidFill>
              <a:effectLst/>
            </a:rPr>
            <a:t> </a:t>
          </a:r>
          <a:endParaRPr lang="en-US" sz="1200" b="1">
            <a:solidFill>
              <a:schemeClr val="bg1"/>
            </a:solidFill>
          </a:endParaRPr>
        </a:p>
      </xdr:txBody>
    </xdr:sp>
    <xdr:clientData/>
  </xdr:twoCellAnchor>
  <xdr:twoCellAnchor>
    <xdr:from>
      <xdr:col>11</xdr:col>
      <xdr:colOff>415638</xdr:colOff>
      <xdr:row>20</xdr:row>
      <xdr:rowOff>7696</xdr:rowOff>
    </xdr:from>
    <xdr:to>
      <xdr:col>14</xdr:col>
      <xdr:colOff>561879</xdr:colOff>
      <xdr:row>21</xdr:row>
      <xdr:rowOff>84665</xdr:rowOff>
    </xdr:to>
    <xdr:sp macro="" textlink="">
      <xdr:nvSpPr>
        <xdr:cNvPr id="1054" name="TextBox 1053">
          <a:extLst>
            <a:ext uri="{FF2B5EF4-FFF2-40B4-BE49-F238E27FC236}">
              <a16:creationId xmlns:a16="http://schemas.microsoft.com/office/drawing/2014/main" id="{E2F852C4-7FE4-C40C-CB35-7A2CBF39F5BC}"/>
            </a:ext>
          </a:extLst>
        </xdr:cNvPr>
        <xdr:cNvSpPr txBox="1"/>
      </xdr:nvSpPr>
      <xdr:spPr>
        <a:xfrm>
          <a:off x="7104305" y="3702241"/>
          <a:ext cx="1970422" cy="261697"/>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E5B244"/>
              </a:solidFill>
            </a:rPr>
            <a:t>Avg salart by job title</a:t>
          </a:r>
        </a:p>
      </xdr:txBody>
    </xdr:sp>
    <xdr:clientData/>
  </xdr:twoCellAnchor>
  <xdr:twoCellAnchor>
    <xdr:from>
      <xdr:col>11</xdr:col>
      <xdr:colOff>184727</xdr:colOff>
      <xdr:row>30</xdr:row>
      <xdr:rowOff>0</xdr:rowOff>
    </xdr:from>
    <xdr:to>
      <xdr:col>11</xdr:col>
      <xdr:colOff>292484</xdr:colOff>
      <xdr:row>30</xdr:row>
      <xdr:rowOff>115839</xdr:rowOff>
    </xdr:to>
    <xdr:sp macro="" textlink="">
      <xdr:nvSpPr>
        <xdr:cNvPr id="1055" name="Oval 1054">
          <a:extLst>
            <a:ext uri="{FF2B5EF4-FFF2-40B4-BE49-F238E27FC236}">
              <a16:creationId xmlns:a16="http://schemas.microsoft.com/office/drawing/2014/main" id="{41C78F58-3B91-46BC-98C8-086C87ECD878}"/>
            </a:ext>
          </a:extLst>
        </xdr:cNvPr>
        <xdr:cNvSpPr/>
      </xdr:nvSpPr>
      <xdr:spPr>
        <a:xfrm>
          <a:off x="6873394" y="5541818"/>
          <a:ext cx="107757" cy="115839"/>
        </a:xfrm>
        <a:prstGeom prst="ellipse">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
            <a:solidFill>
              <a:srgbClr val="E5B244"/>
            </a:solidFill>
          </a:endParaRPr>
        </a:p>
      </xdr:txBody>
    </xdr:sp>
    <xdr:clientData/>
  </xdr:twoCellAnchor>
  <xdr:twoCellAnchor>
    <xdr:from>
      <xdr:col>11</xdr:col>
      <xdr:colOff>177031</xdr:colOff>
      <xdr:row>24</xdr:row>
      <xdr:rowOff>7696</xdr:rowOff>
    </xdr:from>
    <xdr:to>
      <xdr:col>11</xdr:col>
      <xdr:colOff>284788</xdr:colOff>
      <xdr:row>24</xdr:row>
      <xdr:rowOff>123535</xdr:rowOff>
    </xdr:to>
    <xdr:sp macro="" textlink="">
      <xdr:nvSpPr>
        <xdr:cNvPr id="1056" name="Oval 1055">
          <a:extLst>
            <a:ext uri="{FF2B5EF4-FFF2-40B4-BE49-F238E27FC236}">
              <a16:creationId xmlns:a16="http://schemas.microsoft.com/office/drawing/2014/main" id="{526DD817-BDD0-45A4-87A6-ECE46FA4D12D}"/>
            </a:ext>
          </a:extLst>
        </xdr:cNvPr>
        <xdr:cNvSpPr/>
      </xdr:nvSpPr>
      <xdr:spPr>
        <a:xfrm>
          <a:off x="6865698" y="4441151"/>
          <a:ext cx="107757" cy="115839"/>
        </a:xfrm>
        <a:prstGeom prst="ellipse">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
            <a:solidFill>
              <a:srgbClr val="E5B244"/>
            </a:solidFill>
          </a:endParaRPr>
        </a:p>
      </xdr:txBody>
    </xdr:sp>
    <xdr:clientData/>
  </xdr:twoCellAnchor>
  <xdr:twoCellAnchor>
    <xdr:from>
      <xdr:col>11</xdr:col>
      <xdr:colOff>169334</xdr:colOff>
      <xdr:row>22</xdr:row>
      <xdr:rowOff>0</xdr:rowOff>
    </xdr:from>
    <xdr:to>
      <xdr:col>11</xdr:col>
      <xdr:colOff>277091</xdr:colOff>
      <xdr:row>22</xdr:row>
      <xdr:rowOff>115839</xdr:rowOff>
    </xdr:to>
    <xdr:sp macro="" textlink="">
      <xdr:nvSpPr>
        <xdr:cNvPr id="1057" name="Oval 1056">
          <a:extLst>
            <a:ext uri="{FF2B5EF4-FFF2-40B4-BE49-F238E27FC236}">
              <a16:creationId xmlns:a16="http://schemas.microsoft.com/office/drawing/2014/main" id="{BFF99F7A-A2DC-49EA-B669-F0B33EC371E9}"/>
            </a:ext>
          </a:extLst>
        </xdr:cNvPr>
        <xdr:cNvSpPr/>
      </xdr:nvSpPr>
      <xdr:spPr>
        <a:xfrm>
          <a:off x="6858001" y="4064000"/>
          <a:ext cx="107757" cy="115839"/>
        </a:xfrm>
        <a:prstGeom prst="ellipse">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
            <a:solidFill>
              <a:srgbClr val="E5B244"/>
            </a:solidFill>
          </a:endParaRPr>
        </a:p>
      </xdr:txBody>
    </xdr:sp>
    <xdr:clientData/>
  </xdr:twoCellAnchor>
  <xdr:twoCellAnchor>
    <xdr:from>
      <xdr:col>11</xdr:col>
      <xdr:colOff>177031</xdr:colOff>
      <xdr:row>28</xdr:row>
      <xdr:rowOff>7697</xdr:rowOff>
    </xdr:from>
    <xdr:to>
      <xdr:col>11</xdr:col>
      <xdr:colOff>284788</xdr:colOff>
      <xdr:row>28</xdr:row>
      <xdr:rowOff>123536</xdr:rowOff>
    </xdr:to>
    <xdr:sp macro="" textlink="">
      <xdr:nvSpPr>
        <xdr:cNvPr id="1058" name="Oval 1057">
          <a:extLst>
            <a:ext uri="{FF2B5EF4-FFF2-40B4-BE49-F238E27FC236}">
              <a16:creationId xmlns:a16="http://schemas.microsoft.com/office/drawing/2014/main" id="{C139C4B8-C7CA-466A-A24A-0D0982C57D1D}"/>
            </a:ext>
          </a:extLst>
        </xdr:cNvPr>
        <xdr:cNvSpPr/>
      </xdr:nvSpPr>
      <xdr:spPr>
        <a:xfrm>
          <a:off x="6865698" y="5180061"/>
          <a:ext cx="107757" cy="115839"/>
        </a:xfrm>
        <a:prstGeom prst="ellipse">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
            <a:solidFill>
              <a:srgbClr val="E5B244"/>
            </a:solidFill>
          </a:endParaRPr>
        </a:p>
      </xdr:txBody>
    </xdr:sp>
    <xdr:clientData/>
  </xdr:twoCellAnchor>
  <xdr:twoCellAnchor>
    <xdr:from>
      <xdr:col>11</xdr:col>
      <xdr:colOff>177031</xdr:colOff>
      <xdr:row>26</xdr:row>
      <xdr:rowOff>0</xdr:rowOff>
    </xdr:from>
    <xdr:to>
      <xdr:col>11</xdr:col>
      <xdr:colOff>284788</xdr:colOff>
      <xdr:row>26</xdr:row>
      <xdr:rowOff>115839</xdr:rowOff>
    </xdr:to>
    <xdr:sp macro="" textlink="">
      <xdr:nvSpPr>
        <xdr:cNvPr id="1059" name="Oval 1058">
          <a:extLst>
            <a:ext uri="{FF2B5EF4-FFF2-40B4-BE49-F238E27FC236}">
              <a16:creationId xmlns:a16="http://schemas.microsoft.com/office/drawing/2014/main" id="{9501349E-E5AB-4349-A37B-0CAEC8A96158}"/>
            </a:ext>
          </a:extLst>
        </xdr:cNvPr>
        <xdr:cNvSpPr/>
      </xdr:nvSpPr>
      <xdr:spPr>
        <a:xfrm>
          <a:off x="6865698" y="4802909"/>
          <a:ext cx="107757" cy="115839"/>
        </a:xfrm>
        <a:prstGeom prst="ellipse">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
            <a:solidFill>
              <a:srgbClr val="E5B244"/>
            </a:solidFill>
          </a:endParaRPr>
        </a:p>
      </xdr:txBody>
    </xdr:sp>
    <xdr:clientData/>
  </xdr:twoCellAnchor>
  <xdr:twoCellAnchor>
    <xdr:from>
      <xdr:col>13</xdr:col>
      <xdr:colOff>400243</xdr:colOff>
      <xdr:row>21</xdr:row>
      <xdr:rowOff>92364</xdr:rowOff>
    </xdr:from>
    <xdr:to>
      <xdr:col>15</xdr:col>
      <xdr:colOff>100062</xdr:colOff>
      <xdr:row>22</xdr:row>
      <xdr:rowOff>177031</xdr:rowOff>
    </xdr:to>
    <xdr:sp macro="" textlink="'pivot table'!B55">
      <xdr:nvSpPr>
        <xdr:cNvPr id="1060" name="TextBox 1059">
          <a:extLst>
            <a:ext uri="{FF2B5EF4-FFF2-40B4-BE49-F238E27FC236}">
              <a16:creationId xmlns:a16="http://schemas.microsoft.com/office/drawing/2014/main" id="{5C7B446E-336D-3799-9837-AF1E5F4C5F02}"/>
            </a:ext>
          </a:extLst>
        </xdr:cNvPr>
        <xdr:cNvSpPr txBox="1"/>
      </xdr:nvSpPr>
      <xdr:spPr>
        <a:xfrm>
          <a:off x="8305031" y="3971637"/>
          <a:ext cx="915940" cy="269394"/>
        </a:xfrm>
        <a:prstGeom prst="roundRect">
          <a:avLst/>
        </a:prstGeom>
        <a:solidFill>
          <a:srgbClr val="1F1F1F"/>
        </a:solidFill>
        <a:ln w="9525" cmpd="sng">
          <a:solidFill>
            <a:srgbClr val="171717"/>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1DB9F5-031A-4C30-8469-EBE10BCAE2A0}" type="TxLink">
            <a:rPr lang="en-US" sz="1100" b="0" i="0" u="none" strike="noStrike">
              <a:solidFill>
                <a:schemeClr val="bg1"/>
              </a:solidFill>
              <a:latin typeface="Aptos Narrow"/>
            </a:rPr>
            <a:t> $41,760.25 </a:t>
          </a:fld>
          <a:endParaRPr lang="en-US" sz="1100">
            <a:solidFill>
              <a:schemeClr val="bg1"/>
            </a:solidFill>
          </a:endParaRPr>
        </a:p>
      </xdr:txBody>
    </xdr:sp>
    <xdr:clientData/>
  </xdr:twoCellAnchor>
  <xdr:twoCellAnchor>
    <xdr:from>
      <xdr:col>13</xdr:col>
      <xdr:colOff>392545</xdr:colOff>
      <xdr:row>23</xdr:row>
      <xdr:rowOff>100061</xdr:rowOff>
    </xdr:from>
    <xdr:to>
      <xdr:col>15</xdr:col>
      <xdr:colOff>115456</xdr:colOff>
      <xdr:row>25</xdr:row>
      <xdr:rowOff>23091</xdr:rowOff>
    </xdr:to>
    <xdr:sp macro="" textlink="'pivot table'!B56">
      <xdr:nvSpPr>
        <xdr:cNvPr id="1061" name="TextBox 1060">
          <a:extLst>
            <a:ext uri="{FF2B5EF4-FFF2-40B4-BE49-F238E27FC236}">
              <a16:creationId xmlns:a16="http://schemas.microsoft.com/office/drawing/2014/main" id="{B9CAC28B-0B7A-B6C6-2807-EC3859E5EA27}"/>
            </a:ext>
          </a:extLst>
        </xdr:cNvPr>
        <xdr:cNvSpPr txBox="1"/>
      </xdr:nvSpPr>
      <xdr:spPr>
        <a:xfrm>
          <a:off x="8297333" y="4348788"/>
          <a:ext cx="939032" cy="292485"/>
        </a:xfrm>
        <a:prstGeom prst="roundRect">
          <a:avLst/>
        </a:prstGeom>
        <a:solidFill>
          <a:srgbClr val="1F1F1F"/>
        </a:solidFill>
        <a:ln w="9525" cmpd="sng">
          <a:solidFill>
            <a:srgbClr val="171717"/>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C407139-DBC8-4E61-A94C-00048C2203F3}" type="TxLink">
            <a:rPr lang="en-US" sz="1100" b="0" i="0" u="none" strike="noStrike">
              <a:solidFill>
                <a:schemeClr val="bg1"/>
              </a:solidFill>
              <a:latin typeface="Aptos Narrow"/>
            </a:rPr>
            <a:t> $61,384.20 </a:t>
          </a:fld>
          <a:endParaRPr lang="en-US" sz="1100">
            <a:solidFill>
              <a:schemeClr val="bg1"/>
            </a:solidFill>
          </a:endParaRPr>
        </a:p>
      </xdr:txBody>
    </xdr:sp>
    <xdr:clientData/>
  </xdr:twoCellAnchor>
  <xdr:twoCellAnchor>
    <xdr:from>
      <xdr:col>13</xdr:col>
      <xdr:colOff>400242</xdr:colOff>
      <xdr:row>25</xdr:row>
      <xdr:rowOff>123152</xdr:rowOff>
    </xdr:from>
    <xdr:to>
      <xdr:col>15</xdr:col>
      <xdr:colOff>123152</xdr:colOff>
      <xdr:row>27</xdr:row>
      <xdr:rowOff>46182</xdr:rowOff>
    </xdr:to>
    <xdr:sp macro="" textlink="'pivot table'!B57">
      <xdr:nvSpPr>
        <xdr:cNvPr id="1062" name="TextBox 1061">
          <a:extLst>
            <a:ext uri="{FF2B5EF4-FFF2-40B4-BE49-F238E27FC236}">
              <a16:creationId xmlns:a16="http://schemas.microsoft.com/office/drawing/2014/main" id="{688854F6-DE84-D720-EAEE-6F41008BCCB8}"/>
            </a:ext>
          </a:extLst>
        </xdr:cNvPr>
        <xdr:cNvSpPr txBox="1"/>
      </xdr:nvSpPr>
      <xdr:spPr>
        <a:xfrm>
          <a:off x="8305030" y="4741334"/>
          <a:ext cx="939031" cy="292484"/>
        </a:xfrm>
        <a:prstGeom prst="roundRect">
          <a:avLst/>
        </a:prstGeom>
        <a:solidFill>
          <a:srgbClr val="1F1F1F"/>
        </a:solidFill>
        <a:ln w="9525" cmpd="sng">
          <a:solidFill>
            <a:srgbClr val="171717"/>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37A5E1C-0778-4FA4-93AD-5F4900A97AC0}" type="TxLink">
            <a:rPr lang="en-US" sz="1100" b="0" i="0" u="none" strike="noStrike">
              <a:solidFill>
                <a:schemeClr val="bg1"/>
              </a:solidFill>
              <a:latin typeface="Aptos Narrow"/>
            </a:rPr>
            <a:t> $70,399.33 </a:t>
          </a:fld>
          <a:endParaRPr lang="en-US" sz="1100">
            <a:solidFill>
              <a:schemeClr val="bg1"/>
            </a:solidFill>
          </a:endParaRPr>
        </a:p>
      </xdr:txBody>
    </xdr:sp>
    <xdr:clientData/>
  </xdr:twoCellAnchor>
  <xdr:twoCellAnchor>
    <xdr:from>
      <xdr:col>13</xdr:col>
      <xdr:colOff>400242</xdr:colOff>
      <xdr:row>27</xdr:row>
      <xdr:rowOff>123153</xdr:rowOff>
    </xdr:from>
    <xdr:to>
      <xdr:col>15</xdr:col>
      <xdr:colOff>130849</xdr:colOff>
      <xdr:row>29</xdr:row>
      <xdr:rowOff>38486</xdr:rowOff>
    </xdr:to>
    <xdr:sp macro="" textlink="'pivot table'!B58">
      <xdr:nvSpPr>
        <xdr:cNvPr id="1063" name="TextBox 1062">
          <a:extLst>
            <a:ext uri="{FF2B5EF4-FFF2-40B4-BE49-F238E27FC236}">
              <a16:creationId xmlns:a16="http://schemas.microsoft.com/office/drawing/2014/main" id="{E1E57696-D829-BD0C-D625-0AB7ADD1258B}"/>
            </a:ext>
          </a:extLst>
        </xdr:cNvPr>
        <xdr:cNvSpPr txBox="1"/>
      </xdr:nvSpPr>
      <xdr:spPr>
        <a:xfrm>
          <a:off x="8305030" y="5110789"/>
          <a:ext cx="946728" cy="284788"/>
        </a:xfrm>
        <a:prstGeom prst="roundRect">
          <a:avLst/>
        </a:prstGeom>
        <a:solidFill>
          <a:srgbClr val="1F1F1F"/>
        </a:solidFill>
        <a:ln w="9525" cmpd="sng">
          <a:solidFill>
            <a:srgbClr val="171717"/>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30DBE98-33BF-41F5-BEAF-A207042AE58F}" type="TxLink">
            <a:rPr lang="en-US" sz="1100" b="0" i="0" u="none" strike="noStrike">
              <a:solidFill>
                <a:schemeClr val="bg1"/>
              </a:solidFill>
              <a:latin typeface="Aptos Narrow"/>
            </a:rPr>
            <a:t> $68,519.00 </a:t>
          </a:fld>
          <a:endParaRPr lang="en-US" sz="1100">
            <a:solidFill>
              <a:schemeClr val="bg1"/>
            </a:solidFill>
          </a:endParaRPr>
        </a:p>
      </xdr:txBody>
    </xdr:sp>
    <xdr:clientData/>
  </xdr:twoCellAnchor>
  <xdr:twoCellAnchor>
    <xdr:from>
      <xdr:col>13</xdr:col>
      <xdr:colOff>400242</xdr:colOff>
      <xdr:row>29</xdr:row>
      <xdr:rowOff>146243</xdr:rowOff>
    </xdr:from>
    <xdr:to>
      <xdr:col>15</xdr:col>
      <xdr:colOff>153939</xdr:colOff>
      <xdr:row>31</xdr:row>
      <xdr:rowOff>53880</xdr:rowOff>
    </xdr:to>
    <xdr:sp macro="" textlink="'pivot table'!B59">
      <xdr:nvSpPr>
        <xdr:cNvPr id="1064" name="TextBox 1063">
          <a:extLst>
            <a:ext uri="{FF2B5EF4-FFF2-40B4-BE49-F238E27FC236}">
              <a16:creationId xmlns:a16="http://schemas.microsoft.com/office/drawing/2014/main" id="{DBA05DE3-AFDB-9E17-EA0A-85B4A71BB031}"/>
            </a:ext>
          </a:extLst>
        </xdr:cNvPr>
        <xdr:cNvSpPr txBox="1"/>
      </xdr:nvSpPr>
      <xdr:spPr>
        <a:xfrm>
          <a:off x="8305030" y="5503334"/>
          <a:ext cx="969818" cy="277091"/>
        </a:xfrm>
        <a:prstGeom prst="roundRect">
          <a:avLst/>
        </a:prstGeom>
        <a:solidFill>
          <a:srgbClr val="1F1F1F"/>
        </a:solidFill>
        <a:ln w="9525" cmpd="sng">
          <a:solidFill>
            <a:srgbClr val="171717"/>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3552D5-4A5E-47AD-B53E-101042C17128}" type="TxLink">
            <a:rPr lang="en-US" sz="1100" b="0" i="0" u="none" strike="noStrike">
              <a:solidFill>
                <a:schemeClr val="bg1"/>
              </a:solidFill>
              <a:latin typeface="Aptos Narrow"/>
            </a:rPr>
            <a:t> $56,243.85 </a:t>
          </a:fld>
          <a:endParaRPr lang="en-US" sz="1100">
            <a:solidFill>
              <a:schemeClr val="bg1"/>
            </a:solidFill>
          </a:endParaRPr>
        </a:p>
      </xdr:txBody>
    </xdr:sp>
    <xdr:clientData/>
  </xdr:twoCellAnchor>
  <xdr:twoCellAnchor>
    <xdr:from>
      <xdr:col>15</xdr:col>
      <xdr:colOff>454121</xdr:colOff>
      <xdr:row>7</xdr:row>
      <xdr:rowOff>169334</xdr:rowOff>
    </xdr:from>
    <xdr:to>
      <xdr:col>19</xdr:col>
      <xdr:colOff>484909</xdr:colOff>
      <xdr:row>19</xdr:row>
      <xdr:rowOff>153940</xdr:rowOff>
    </xdr:to>
    <xdr:sp macro="" textlink="">
      <xdr:nvSpPr>
        <xdr:cNvPr id="1065" name="Rectangle: Rounded Corners 1064">
          <a:extLst>
            <a:ext uri="{FF2B5EF4-FFF2-40B4-BE49-F238E27FC236}">
              <a16:creationId xmlns:a16="http://schemas.microsoft.com/office/drawing/2014/main" id="{6288C6B7-7DB1-71D5-C58A-E9D932873231}"/>
            </a:ext>
          </a:extLst>
        </xdr:cNvPr>
        <xdr:cNvSpPr/>
      </xdr:nvSpPr>
      <xdr:spPr>
        <a:xfrm>
          <a:off x="9575030" y="1462425"/>
          <a:ext cx="2463031" cy="2201333"/>
        </a:xfrm>
        <a:prstGeom prst="roundRect">
          <a:avLst/>
        </a:prstGeom>
        <a:solidFill>
          <a:schemeClr val="tx1">
            <a:lumMod val="85000"/>
            <a:lumOff val="15000"/>
          </a:schemeClr>
        </a:solidFill>
        <a:ln>
          <a:solidFill>
            <a:srgbClr val="17171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30788</xdr:colOff>
      <xdr:row>9</xdr:row>
      <xdr:rowOff>53879</xdr:rowOff>
    </xdr:from>
    <xdr:to>
      <xdr:col>19</xdr:col>
      <xdr:colOff>338666</xdr:colOff>
      <xdr:row>19</xdr:row>
      <xdr:rowOff>27786</xdr:rowOff>
    </xdr:to>
    <xdr:graphicFrame macro="">
      <xdr:nvGraphicFramePr>
        <xdr:cNvPr id="1066" name="Chart 1065">
          <a:extLst>
            <a:ext uri="{FF2B5EF4-FFF2-40B4-BE49-F238E27FC236}">
              <a16:creationId xmlns:a16="http://schemas.microsoft.com/office/drawing/2014/main" id="{440A6F56-656F-496C-8B09-A9FD11A1FA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69272</xdr:colOff>
      <xdr:row>8</xdr:row>
      <xdr:rowOff>123151</xdr:rowOff>
    </xdr:from>
    <xdr:to>
      <xdr:col>16</xdr:col>
      <xdr:colOff>214052</xdr:colOff>
      <xdr:row>9</xdr:row>
      <xdr:rowOff>83204</xdr:rowOff>
    </xdr:to>
    <xdr:sp macro="" textlink="">
      <xdr:nvSpPr>
        <xdr:cNvPr id="1068" name="Oval 1067">
          <a:extLst>
            <a:ext uri="{FF2B5EF4-FFF2-40B4-BE49-F238E27FC236}">
              <a16:creationId xmlns:a16="http://schemas.microsoft.com/office/drawing/2014/main" id="{4B5511E6-3EE0-4A25-B6F4-91779A1477F1}"/>
            </a:ext>
          </a:extLst>
        </xdr:cNvPr>
        <xdr:cNvSpPr/>
      </xdr:nvSpPr>
      <xdr:spPr>
        <a:xfrm>
          <a:off x="9798242" y="1600969"/>
          <a:ext cx="144780" cy="144780"/>
        </a:xfrm>
        <a:prstGeom prst="ellipse">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230909</xdr:colOff>
      <xdr:row>8</xdr:row>
      <xdr:rowOff>30788</xdr:rowOff>
    </xdr:from>
    <xdr:to>
      <xdr:col>19</xdr:col>
      <xdr:colOff>223212</xdr:colOff>
      <xdr:row>9</xdr:row>
      <xdr:rowOff>107758</xdr:rowOff>
    </xdr:to>
    <xdr:sp macro="" textlink="">
      <xdr:nvSpPr>
        <xdr:cNvPr id="1069" name="TextBox 1068">
          <a:extLst>
            <a:ext uri="{FF2B5EF4-FFF2-40B4-BE49-F238E27FC236}">
              <a16:creationId xmlns:a16="http://schemas.microsoft.com/office/drawing/2014/main" id="{D60CBCFC-A051-C043-0F02-870B07AD6FDC}"/>
            </a:ext>
          </a:extLst>
        </xdr:cNvPr>
        <xdr:cNvSpPr txBox="1"/>
      </xdr:nvSpPr>
      <xdr:spPr>
        <a:xfrm>
          <a:off x="9959879" y="1508606"/>
          <a:ext cx="1816485" cy="261697"/>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E5B244"/>
              </a:solidFill>
            </a:rPr>
            <a:t>Employees</a:t>
          </a:r>
          <a:r>
            <a:rPr lang="en-US" sz="1400" b="0" baseline="0">
              <a:solidFill>
                <a:srgbClr val="E5B244"/>
              </a:solidFill>
            </a:rPr>
            <a:t> </a:t>
          </a:r>
          <a:r>
            <a:rPr lang="en-US" sz="1400" b="1" baseline="0">
              <a:solidFill>
                <a:srgbClr val="E5B244"/>
              </a:solidFill>
            </a:rPr>
            <a:t>per region</a:t>
          </a:r>
          <a:endParaRPr lang="en-US" sz="1400" b="1">
            <a:solidFill>
              <a:srgbClr val="E5B244"/>
            </a:solidFill>
          </a:endParaRPr>
        </a:p>
      </xdr:txBody>
    </xdr:sp>
    <xdr:clientData/>
  </xdr:twoCellAnchor>
  <xdr:twoCellAnchor>
    <xdr:from>
      <xdr:col>15</xdr:col>
      <xdr:colOff>438726</xdr:colOff>
      <xdr:row>20</xdr:row>
      <xdr:rowOff>38484</xdr:rowOff>
    </xdr:from>
    <xdr:to>
      <xdr:col>19</xdr:col>
      <xdr:colOff>484909</xdr:colOff>
      <xdr:row>32</xdr:row>
      <xdr:rowOff>30787</xdr:rowOff>
    </xdr:to>
    <xdr:sp macro="" textlink="">
      <xdr:nvSpPr>
        <xdr:cNvPr id="1070" name="Rectangle: Rounded Corners 1069">
          <a:extLst>
            <a:ext uri="{FF2B5EF4-FFF2-40B4-BE49-F238E27FC236}">
              <a16:creationId xmlns:a16="http://schemas.microsoft.com/office/drawing/2014/main" id="{4D0E4980-A402-36CE-F844-7AB8CF2EA622}"/>
            </a:ext>
          </a:extLst>
        </xdr:cNvPr>
        <xdr:cNvSpPr/>
      </xdr:nvSpPr>
      <xdr:spPr>
        <a:xfrm>
          <a:off x="9559635" y="3733029"/>
          <a:ext cx="2478426" cy="2209031"/>
        </a:xfrm>
        <a:prstGeom prst="roundRect">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38485</xdr:colOff>
      <xdr:row>21</xdr:row>
      <xdr:rowOff>38486</xdr:rowOff>
    </xdr:from>
    <xdr:to>
      <xdr:col>19</xdr:col>
      <xdr:colOff>161636</xdr:colOff>
      <xdr:row>29</xdr:row>
      <xdr:rowOff>23092</xdr:rowOff>
    </xdr:to>
    <xdr:graphicFrame macro="">
      <xdr:nvGraphicFramePr>
        <xdr:cNvPr id="1071" name="Chart 1070">
          <a:extLst>
            <a:ext uri="{FF2B5EF4-FFF2-40B4-BE49-F238E27FC236}">
              <a16:creationId xmlns:a16="http://schemas.microsoft.com/office/drawing/2014/main" id="{0131909C-FDAC-4CFB-A68C-F09BBADD9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269394</xdr:colOff>
      <xdr:row>20</xdr:row>
      <xdr:rowOff>46181</xdr:rowOff>
    </xdr:from>
    <xdr:to>
      <xdr:col>19</xdr:col>
      <xdr:colOff>7697</xdr:colOff>
      <xdr:row>22</xdr:row>
      <xdr:rowOff>0</xdr:rowOff>
    </xdr:to>
    <xdr:sp macro="" textlink="">
      <xdr:nvSpPr>
        <xdr:cNvPr id="1072" name="TextBox 1071">
          <a:extLst>
            <a:ext uri="{FF2B5EF4-FFF2-40B4-BE49-F238E27FC236}">
              <a16:creationId xmlns:a16="http://schemas.microsoft.com/office/drawing/2014/main" id="{C885C4CA-3F35-0EFB-6CB8-238564EABE8C}"/>
            </a:ext>
          </a:extLst>
        </xdr:cNvPr>
        <xdr:cNvSpPr txBox="1"/>
      </xdr:nvSpPr>
      <xdr:spPr>
        <a:xfrm>
          <a:off x="9998364" y="3740726"/>
          <a:ext cx="1562485" cy="323274"/>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E5B244"/>
              </a:solidFill>
            </a:rPr>
            <a:t>Employees status </a:t>
          </a:r>
        </a:p>
      </xdr:txBody>
    </xdr:sp>
    <xdr:clientData/>
  </xdr:twoCellAnchor>
  <xdr:twoCellAnchor>
    <xdr:from>
      <xdr:col>16</xdr:col>
      <xdr:colOff>161636</xdr:colOff>
      <xdr:row>20</xdr:row>
      <xdr:rowOff>130848</xdr:rowOff>
    </xdr:from>
    <xdr:to>
      <xdr:col>16</xdr:col>
      <xdr:colOff>306416</xdr:colOff>
      <xdr:row>21</xdr:row>
      <xdr:rowOff>90900</xdr:rowOff>
    </xdr:to>
    <xdr:sp macro="" textlink="">
      <xdr:nvSpPr>
        <xdr:cNvPr id="1073" name="Oval 1072">
          <a:extLst>
            <a:ext uri="{FF2B5EF4-FFF2-40B4-BE49-F238E27FC236}">
              <a16:creationId xmlns:a16="http://schemas.microsoft.com/office/drawing/2014/main" id="{B3C059B6-28D6-4B30-9AA1-DBFFA2C5DC42}"/>
            </a:ext>
          </a:extLst>
        </xdr:cNvPr>
        <xdr:cNvSpPr/>
      </xdr:nvSpPr>
      <xdr:spPr>
        <a:xfrm>
          <a:off x="9890606" y="3825393"/>
          <a:ext cx="144780" cy="144780"/>
        </a:xfrm>
        <a:prstGeom prst="ellipse">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215516</xdr:colOff>
      <xdr:row>29</xdr:row>
      <xdr:rowOff>30788</xdr:rowOff>
    </xdr:from>
    <xdr:to>
      <xdr:col>17</xdr:col>
      <xdr:colOff>377152</xdr:colOff>
      <xdr:row>30</xdr:row>
      <xdr:rowOff>115455</xdr:rowOff>
    </xdr:to>
    <xdr:sp macro="" textlink="">
      <xdr:nvSpPr>
        <xdr:cNvPr id="1074" name="TextBox 1073">
          <a:extLst>
            <a:ext uri="{FF2B5EF4-FFF2-40B4-BE49-F238E27FC236}">
              <a16:creationId xmlns:a16="http://schemas.microsoft.com/office/drawing/2014/main" id="{B48C968A-ACDF-2559-C95B-5ADC25815B4F}"/>
            </a:ext>
          </a:extLst>
        </xdr:cNvPr>
        <xdr:cNvSpPr txBox="1"/>
      </xdr:nvSpPr>
      <xdr:spPr>
        <a:xfrm>
          <a:off x="9944486" y="5387879"/>
          <a:ext cx="769696" cy="269394"/>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Contract</a:t>
          </a:r>
        </a:p>
      </xdr:txBody>
    </xdr:sp>
    <xdr:clientData/>
  </xdr:twoCellAnchor>
  <xdr:twoCellAnchor>
    <xdr:from>
      <xdr:col>16</xdr:col>
      <xdr:colOff>561879</xdr:colOff>
      <xdr:row>30</xdr:row>
      <xdr:rowOff>107758</xdr:rowOff>
    </xdr:from>
    <xdr:to>
      <xdr:col>18</xdr:col>
      <xdr:colOff>192424</xdr:colOff>
      <xdr:row>32</xdr:row>
      <xdr:rowOff>15393</xdr:rowOff>
    </xdr:to>
    <xdr:sp macro="" textlink="">
      <xdr:nvSpPr>
        <xdr:cNvPr id="1075" name="TextBox 1074">
          <a:extLst>
            <a:ext uri="{FF2B5EF4-FFF2-40B4-BE49-F238E27FC236}">
              <a16:creationId xmlns:a16="http://schemas.microsoft.com/office/drawing/2014/main" id="{83B99F8E-D85B-5CD2-7ACF-FCDCAF0C9321}"/>
            </a:ext>
          </a:extLst>
        </xdr:cNvPr>
        <xdr:cNvSpPr txBox="1"/>
      </xdr:nvSpPr>
      <xdr:spPr>
        <a:xfrm>
          <a:off x="10290849" y="5649576"/>
          <a:ext cx="846666" cy="277090"/>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Full time</a:t>
          </a:r>
        </a:p>
      </xdr:txBody>
    </xdr:sp>
    <xdr:clientData/>
  </xdr:twoCellAnchor>
  <xdr:twoCellAnchor>
    <xdr:from>
      <xdr:col>17</xdr:col>
      <xdr:colOff>531090</xdr:colOff>
      <xdr:row>28</xdr:row>
      <xdr:rowOff>169334</xdr:rowOff>
    </xdr:from>
    <xdr:to>
      <xdr:col>19</xdr:col>
      <xdr:colOff>284787</xdr:colOff>
      <xdr:row>30</xdr:row>
      <xdr:rowOff>161637</xdr:rowOff>
    </xdr:to>
    <xdr:sp macro="" textlink="">
      <xdr:nvSpPr>
        <xdr:cNvPr id="1078" name="TextBox 1077">
          <a:extLst>
            <a:ext uri="{FF2B5EF4-FFF2-40B4-BE49-F238E27FC236}">
              <a16:creationId xmlns:a16="http://schemas.microsoft.com/office/drawing/2014/main" id="{D6329E79-B049-21BE-70DA-65E640807B5E}"/>
            </a:ext>
          </a:extLst>
        </xdr:cNvPr>
        <xdr:cNvSpPr txBox="1"/>
      </xdr:nvSpPr>
      <xdr:spPr>
        <a:xfrm>
          <a:off x="10868120" y="5341698"/>
          <a:ext cx="969819" cy="361757"/>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Part</a:t>
          </a:r>
          <a:r>
            <a:rPr lang="en-US" sz="1600" b="1">
              <a:solidFill>
                <a:schemeClr val="bg1"/>
              </a:solidFill>
            </a:rPr>
            <a:t> </a:t>
          </a:r>
          <a:r>
            <a:rPr lang="en-US" sz="1200" b="1">
              <a:solidFill>
                <a:schemeClr val="bg1"/>
              </a:solidFill>
            </a:rPr>
            <a:t>time</a:t>
          </a:r>
          <a:endParaRPr lang="en-US" sz="1600" b="1">
            <a:solidFill>
              <a:schemeClr val="bg1"/>
            </a:solidFill>
          </a:endParaRPr>
        </a:p>
      </xdr:txBody>
    </xdr:sp>
    <xdr:clientData/>
  </xdr:twoCellAnchor>
  <xdr:twoCellAnchor>
    <xdr:from>
      <xdr:col>17</xdr:col>
      <xdr:colOff>454121</xdr:colOff>
      <xdr:row>29</xdr:row>
      <xdr:rowOff>123152</xdr:rowOff>
    </xdr:from>
    <xdr:to>
      <xdr:col>17</xdr:col>
      <xdr:colOff>561878</xdr:colOff>
      <xdr:row>30</xdr:row>
      <xdr:rowOff>54264</xdr:rowOff>
    </xdr:to>
    <xdr:sp macro="" textlink="">
      <xdr:nvSpPr>
        <xdr:cNvPr id="1079" name="Oval 1078">
          <a:extLst>
            <a:ext uri="{FF2B5EF4-FFF2-40B4-BE49-F238E27FC236}">
              <a16:creationId xmlns:a16="http://schemas.microsoft.com/office/drawing/2014/main" id="{67CC54A0-9DF0-DB1A-04A9-555022BB40FD}"/>
            </a:ext>
          </a:extLst>
        </xdr:cNvPr>
        <xdr:cNvSpPr/>
      </xdr:nvSpPr>
      <xdr:spPr>
        <a:xfrm>
          <a:off x="10791151" y="5480243"/>
          <a:ext cx="107757" cy="115839"/>
        </a:xfrm>
        <a:prstGeom prst="ellipse">
          <a:avLst/>
        </a:prstGeom>
        <a:solidFill>
          <a:schemeClr val="bg2">
            <a:lumMod val="50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00">
            <a:solidFill>
              <a:srgbClr val="E5B244"/>
            </a:solidFill>
          </a:endParaRPr>
        </a:p>
      </xdr:txBody>
    </xdr:sp>
    <xdr:clientData/>
  </xdr:twoCellAnchor>
  <xdr:twoCellAnchor>
    <xdr:from>
      <xdr:col>16</xdr:col>
      <xdr:colOff>161636</xdr:colOff>
      <xdr:row>29</xdr:row>
      <xdr:rowOff>123152</xdr:rowOff>
    </xdr:from>
    <xdr:to>
      <xdr:col>16</xdr:col>
      <xdr:colOff>269393</xdr:colOff>
      <xdr:row>30</xdr:row>
      <xdr:rowOff>54264</xdr:rowOff>
    </xdr:to>
    <xdr:sp macro="" textlink="">
      <xdr:nvSpPr>
        <xdr:cNvPr id="1080" name="Oval 1079">
          <a:extLst>
            <a:ext uri="{FF2B5EF4-FFF2-40B4-BE49-F238E27FC236}">
              <a16:creationId xmlns:a16="http://schemas.microsoft.com/office/drawing/2014/main" id="{67CC54A0-9DF0-DB1A-04A9-555022BB40FD}"/>
            </a:ext>
          </a:extLst>
        </xdr:cNvPr>
        <xdr:cNvSpPr/>
      </xdr:nvSpPr>
      <xdr:spPr>
        <a:xfrm>
          <a:off x="9890606" y="5480243"/>
          <a:ext cx="107757" cy="115839"/>
        </a:xfrm>
        <a:prstGeom prst="ellipse">
          <a:avLst/>
        </a:prstGeom>
        <a:solidFill>
          <a:srgbClr val="E5B244"/>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00">
            <a:solidFill>
              <a:srgbClr val="E5B244"/>
            </a:solidFill>
          </a:endParaRPr>
        </a:p>
      </xdr:txBody>
    </xdr:sp>
    <xdr:clientData/>
  </xdr:twoCellAnchor>
  <xdr:twoCellAnchor>
    <xdr:from>
      <xdr:col>16</xdr:col>
      <xdr:colOff>469516</xdr:colOff>
      <xdr:row>31</xdr:row>
      <xdr:rowOff>15394</xdr:rowOff>
    </xdr:from>
    <xdr:to>
      <xdr:col>16</xdr:col>
      <xdr:colOff>577273</xdr:colOff>
      <xdr:row>31</xdr:row>
      <xdr:rowOff>131233</xdr:rowOff>
    </xdr:to>
    <xdr:sp macro="" textlink="">
      <xdr:nvSpPr>
        <xdr:cNvPr id="1081" name="Oval 1080">
          <a:extLst>
            <a:ext uri="{FF2B5EF4-FFF2-40B4-BE49-F238E27FC236}">
              <a16:creationId xmlns:a16="http://schemas.microsoft.com/office/drawing/2014/main" id="{67CC54A0-9DF0-DB1A-04A9-555022BB40FD}"/>
            </a:ext>
          </a:extLst>
        </xdr:cNvPr>
        <xdr:cNvSpPr/>
      </xdr:nvSpPr>
      <xdr:spPr>
        <a:xfrm>
          <a:off x="10198486" y="5741939"/>
          <a:ext cx="107757" cy="115839"/>
        </a:xfrm>
        <a:prstGeom prst="ellipse">
          <a:avLst/>
        </a:prstGeom>
        <a:solidFill>
          <a:srgbClr val="2C3333"/>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00">
            <a:solidFill>
              <a:srgbClr val="E5B244"/>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EY" refreshedDate="46093.176378935183" createdVersion="8" refreshedVersion="8" minRefreshableVersion="3" recordCount="50" xr:uid="{8C3420CD-B7D9-448D-861F-B8384CD9BC49}">
  <cacheSource type="worksheet">
    <worksheetSource name="Table1"/>
  </cacheSource>
  <cacheFields count="21">
    <cacheField name="Employee ID" numFmtId="0">
      <sharedItems containsSemiMixedTypes="0" containsString="0" containsNumber="1" containsInteger="1" minValue="1550" maxValue="9968"/>
    </cacheField>
    <cacheField name="Full Name" numFmtId="0">
      <sharedItems count="49">
        <s v="Lori Nguyen"/>
        <s v="Gary Garcia"/>
        <s v="Jeremy Nguyen"/>
        <s v="Kimberly Jones"/>
        <s v="Anthony Gates"/>
        <s v="Courtney Foster"/>
        <s v="Catherine Hall"/>
        <s v="Deanna Ball"/>
        <s v="Candace Nelson"/>
        <s v="Mandy Davis"/>
        <s v="Matthew Powell"/>
        <s v="Bruce Nelson"/>
        <s v="Dawn Cole"/>
        <s v="Tanner Morse"/>
        <s v="Jose Griffin"/>
        <s v="Daniel Hawkins"/>
        <s v="Elaine Mcclain"/>
        <s v="Thomas Kramer"/>
        <s v="Kevin Whitaker"/>
        <s v="Dustin Carter"/>
        <s v="Nicole Williamson"/>
        <s v="Matthew Knight"/>
        <s v="Donna Jones"/>
        <s v="Carolyn Bullock"/>
        <s v="Wendy Gomez"/>
        <s v="Michael Thomas"/>
        <s v="Kevin Bell"/>
        <s v="Richard Landry"/>
        <s v="George Hurley"/>
        <s v="Mark Lopez"/>
        <s v="Robert Williams"/>
        <s v="Mary Schmidt"/>
        <s v="Mary Martinez"/>
        <s v="Paul Hall"/>
        <s v="Samantha Foster"/>
        <s v="Timothy Aguilar"/>
        <s v="Charles Andrews"/>
        <s v="Veronica Nelson"/>
        <s v="Chris Sanchez"/>
        <s v="Cassie Galvan"/>
        <s v="Jessica Jones"/>
        <s v="Emily Walker"/>
        <s v="Vickie Lewis"/>
        <s v="Alexis Clark"/>
        <s v="Robert Davis"/>
        <s v="Daniel Brown MD"/>
        <s v="Anna Payne"/>
        <s v="Rhonda Pena"/>
        <s v="Nicole Gonzalez"/>
      </sharedItems>
    </cacheField>
    <cacheField name="Gender" numFmtId="0">
      <sharedItems count="2">
        <s v="Female"/>
        <s v="Male"/>
      </sharedItems>
    </cacheField>
    <cacheField name="Age" numFmtId="0">
      <sharedItems containsSemiMixedTypes="0" containsString="0" containsNumber="1" containsInteger="1" minValue="20" maxValue="60"/>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0">
      <sharedItems/>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ount="5">
        <n v="1"/>
        <n v="4"/>
        <n v="2"/>
        <n v="3"/>
        <n v="5"/>
      </sharedItems>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s>
  <extLst>
    <ext xmlns:x14="http://schemas.microsoft.com/office/spreadsheetml/2009/9/main" uri="{725AE2AE-9491-48be-B2B4-4EB974FC3084}">
      <x14:pivotCacheDefinition pivotCacheId="178968886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EY" refreshedDate="46094.157700115742" backgroundQuery="1" createdVersion="8" refreshedVersion="8" minRefreshableVersion="3" recordCount="0" supportSubquery="1" supportAdvancedDrill="1" xr:uid="{2B6D3ACB-B1CF-4F53-B041-83B10DD1E6D0}">
  <cacheSource type="external" connectionId="1"/>
  <cacheFields count="1">
    <cacheField name="[Measures].[Measure 1]" caption="Measure 1" numFmtId="0" hierarchy="21" level="32767"/>
  </cacheFields>
  <cacheHierarchies count="24">
    <cacheHierarchy uniqueName="[Table1].[Employee ID]" caption="Employee ID" attribute="1" defaultMemberUniqueName="[Table1].[Employee ID].[All]" allUniqueName="[Table1].[Employee ID].[All]" dimensionUniqueName="[Table1]" displayFolder="" count="0" memberValueDatatype="20" unbalanced="0"/>
    <cacheHierarchy uniqueName="[Table1].[Full Name]" caption="Full Name" attribute="1" defaultMemberUniqueName="[Table1].[Full Name].[All]" allUniqueName="[Table1].[Full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range]" caption="Age range" attribute="1" defaultMemberUniqueName="[Table1].[Age range].[All]" allUniqueName="[Table1].[Age rang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Job Title]" caption="Job Title" attribute="1" defaultMemberUniqueName="[Table1].[Job Title].[All]" allUniqueName="[Table1].[Job Title].[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Manager/Supervisor]" caption="Manager/Supervisor" attribute="1" defaultMemberUniqueName="[Table1].[Manager/Supervisor].[All]" allUniqueName="[Table1].[Manager/Supervisor].[All]" dimensionUniqueName="[Table1]" displayFolder="" count="0" memberValueDatatype="130" unbalanced="0"/>
    <cacheHierarchy uniqueName="[Table1].[Date of Hire]" caption="Date of Hire" attribute="1" defaultMemberUniqueName="[Table1].[Date of Hire].[All]" allUniqueName="[Table1].[Date of Hire].[All]" dimensionUniqueName="[Table1]" displayFolder="" count="0" memberValueDatatype="130" unbalanced="0"/>
    <cacheHierarchy uniqueName="[Table1].[Employment Status]" caption="Employment Status" attribute="1" defaultMemberUniqueName="[Table1].[Employment Status].[All]" allUniqueName="[Table1].[Employment Status].[All]" dimensionUniqueName="[Table1]" displayFolder="" count="0" memberValueDatatype="130" unbalanced="0"/>
    <cacheHierarchy uniqueName="[Table1].[Work Location]" caption="Work Location" attribute="1" defaultMemberUniqueName="[Table1].[Work Location].[All]" allUniqueName="[Table1].[Work Location].[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Pay Grade]" caption="Pay Grade" attribute="1" defaultMemberUniqueName="[Table1].[Pay Grade].[All]" allUniqueName="[Table1].[Pay Grade].[All]" dimensionUniqueName="[Table1]" displayFolder="" count="0" memberValueDatatype="130" unbalanced="0"/>
    <cacheHierarchy uniqueName="[Table1].[Bonus/Allowances]" caption="Bonus/Allowances" attribute="1" defaultMemberUniqueName="[Table1].[Bonus/Allowances].[All]" allUniqueName="[Table1].[Bonus/Allowances].[All]" dimensionUniqueName="[Table1]" displayFolder="" count="0" memberValueDatatype="20" unbalanced="0"/>
    <cacheHierarchy uniqueName="[Table1].[Insurance Details]" caption="Insurance Details" attribute="1" defaultMemberUniqueName="[Table1].[Insurance Details].[All]" allUniqueName="[Table1].[Insurance Details].[All]" dimensionUniqueName="[Table1]" displayFolder="" count="0" memberValueDatatype="130" unbalanced="0"/>
    <cacheHierarchy uniqueName="[Table1].[Leave Taken]" caption="Leave Taken" attribute="1" defaultMemberUniqueName="[Table1].[Leave Taken].[All]" allUniqueName="[Table1].[Leave Taken].[All]" dimensionUniqueName="[Table1]" displayFolder="" count="0" memberValueDatatype="20" unbalanced="0"/>
    <cacheHierarchy uniqueName="[Table1].[Performance Rating]" caption="Performance Rating" attribute="1" defaultMemberUniqueName="[Table1].[Performance Rating].[All]" allUniqueName="[Table1].[Performance Rating].[All]" dimensionUniqueName="[Table1]" displayFolder="" count="0" memberValueDatatype="20" unbalanced="0"/>
    <cacheHierarchy uniqueName="[Table1].[Training Programs Attended]" caption="Training Programs Attended" attribute="1" defaultMemberUniqueName="[Table1].[Training Programs Attended].[All]" allUniqueName="[Table1].[Training Programs Attended].[All]" dimensionUniqueName="[Table1]" displayFolder="" count="0" memberValueDatatype="130" unbalanced="0"/>
    <cacheHierarchy uniqueName="[Table1].[Skills]" caption="Skills" attribute="1" defaultMemberUniqueName="[Table1].[Skills].[All]" allUniqueName="[Table1].[Skills].[All]" dimensionUniqueName="[Table1]" displayFolder="" count="0" memberValueDatatype="130" unbalanced="0"/>
    <cacheHierarchy uniqueName="[Table1].[Certifications]" caption="Certifications" attribute="1" defaultMemberUniqueName="[Table1].[Certifications].[All]" allUniqueName="[Table1].[Certifications].[All]" dimensionUniqueName="[Table1]" displayFolder="" count="0" memberValueDatatype="130" unbalanced="0"/>
    <cacheHierarchy uniqueName="[Measures].[Measure 1]" caption="Measure 1" measure="1" displayFolder="" measureGroup="Table1" count="0" oneField="1">
      <fieldsUsage count="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4294"/>
    <x v="0"/>
    <x v="0"/>
    <n v="25"/>
    <x v="0"/>
    <x v="0"/>
    <x v="0"/>
    <x v="0"/>
    <s v="Luis Reynolds"/>
    <s v="2019-03-15"/>
    <x v="0"/>
    <x v="0"/>
    <n v="53700"/>
    <s v="C"/>
    <n v="1463"/>
    <s v="Health"/>
    <n v="1"/>
    <x v="0"/>
    <s v="Leadership Training"/>
    <x v="0"/>
    <s v="Certified Professional"/>
  </r>
  <r>
    <n v="9116"/>
    <x v="1"/>
    <x v="1"/>
    <n v="27"/>
    <x v="1"/>
    <x v="1"/>
    <x v="1"/>
    <x v="1"/>
    <s v="Ashley Simmons MD"/>
    <s v="2022-12-20"/>
    <x v="0"/>
    <x v="1"/>
    <n v="91091"/>
    <s v="B"/>
    <n v="1024"/>
    <s v="None"/>
    <n v="19"/>
    <x v="1"/>
    <s v="Excel Workshop"/>
    <x v="0"/>
    <s v="Certified Professional"/>
  </r>
  <r>
    <n v="5120"/>
    <x v="2"/>
    <x v="1"/>
    <n v="34"/>
    <x v="1"/>
    <x v="2"/>
    <x v="2"/>
    <x v="2"/>
    <s v="Cassandra Duncan"/>
    <s v="2022-08-10"/>
    <x v="0"/>
    <x v="2"/>
    <n v="57538"/>
    <s v="D"/>
    <n v="1674"/>
    <s v="None"/>
    <n v="8"/>
    <x v="0"/>
    <s v="None"/>
    <x v="1"/>
    <s v="Advanced Training"/>
  </r>
  <r>
    <n v="8071"/>
    <x v="3"/>
    <x v="0"/>
    <n v="41"/>
    <x v="2"/>
    <x v="2"/>
    <x v="0"/>
    <x v="3"/>
    <s v="Janet Harris"/>
    <s v="2024-09-03"/>
    <x v="1"/>
    <x v="0"/>
    <n v="62993"/>
    <s v="A"/>
    <n v="2695"/>
    <s v="Health + Dental"/>
    <n v="0"/>
    <x v="2"/>
    <s v="None"/>
    <x v="2"/>
    <s v="None"/>
  </r>
  <r>
    <n v="9351"/>
    <x v="4"/>
    <x v="1"/>
    <n v="56"/>
    <x v="3"/>
    <x v="0"/>
    <x v="0"/>
    <x v="2"/>
    <s v="Mr. Frank Clay"/>
    <s v="2019-03-14"/>
    <x v="1"/>
    <x v="1"/>
    <n v="45773"/>
    <s v="A"/>
    <n v="8776"/>
    <s v="Health"/>
    <n v="16"/>
    <x v="1"/>
    <s v="Leadership Training"/>
    <x v="2"/>
    <s v="None"/>
  </r>
  <r>
    <n v="2873"/>
    <x v="5"/>
    <x v="0"/>
    <n v="28"/>
    <x v="1"/>
    <x v="2"/>
    <x v="3"/>
    <x v="2"/>
    <s v="Dorothy Price"/>
    <s v="2017-01-23"/>
    <x v="0"/>
    <x v="1"/>
    <n v="96249"/>
    <s v="C"/>
    <n v="4826"/>
    <s v="Health + Dental"/>
    <n v="7"/>
    <x v="3"/>
    <s v="Leadership Training"/>
    <x v="3"/>
    <s v="Certified Professional"/>
  </r>
  <r>
    <n v="3540"/>
    <x v="6"/>
    <x v="0"/>
    <n v="20"/>
    <x v="0"/>
    <x v="1"/>
    <x v="2"/>
    <x v="2"/>
    <s v="Michele Sexton"/>
    <s v="2024-08-17"/>
    <x v="0"/>
    <x v="2"/>
    <n v="61596"/>
    <s v="C"/>
    <n v="8818"/>
    <s v="Health + Dental"/>
    <n v="4"/>
    <x v="2"/>
    <s v="Leadership Training"/>
    <x v="1"/>
    <s v="None"/>
  </r>
  <r>
    <n v="3653"/>
    <x v="7"/>
    <x v="0"/>
    <n v="58"/>
    <x v="3"/>
    <x v="3"/>
    <x v="1"/>
    <x v="4"/>
    <s v="Richard Schmidt"/>
    <s v="2014-12-09"/>
    <x v="0"/>
    <x v="2"/>
    <n v="97869"/>
    <s v="A"/>
    <n v="1966"/>
    <s v="Health"/>
    <n v="10"/>
    <x v="0"/>
    <s v="Leadership Training"/>
    <x v="0"/>
    <s v="Certified Professional"/>
  </r>
  <r>
    <n v="5587"/>
    <x v="8"/>
    <x v="0"/>
    <n v="44"/>
    <x v="2"/>
    <x v="3"/>
    <x v="2"/>
    <x v="2"/>
    <s v="Teresa Pearson"/>
    <s v="2021-06-28"/>
    <x v="0"/>
    <x v="0"/>
    <n v="81235"/>
    <s v="A"/>
    <n v="6553"/>
    <s v="None"/>
    <n v="16"/>
    <x v="2"/>
    <s v="None"/>
    <x v="1"/>
    <s v="Certified Professional"/>
  </r>
  <r>
    <n v="9554"/>
    <x v="9"/>
    <x v="0"/>
    <n v="29"/>
    <x v="1"/>
    <x v="1"/>
    <x v="2"/>
    <x v="3"/>
    <s v="Laura Hart"/>
    <s v="2018-05-20"/>
    <x v="0"/>
    <x v="1"/>
    <n v="87852"/>
    <s v="A"/>
    <n v="4980"/>
    <s v="Health + Dental"/>
    <n v="19"/>
    <x v="3"/>
    <s v="None"/>
    <x v="2"/>
    <s v="Certified Professional"/>
  </r>
  <r>
    <n v="6213"/>
    <x v="10"/>
    <x v="1"/>
    <n v="23"/>
    <x v="0"/>
    <x v="3"/>
    <x v="0"/>
    <x v="2"/>
    <s v="Andrea May"/>
    <s v="2017-02-13"/>
    <x v="1"/>
    <x v="1"/>
    <n v="59359"/>
    <s v="A"/>
    <n v="9449"/>
    <s v="Health + Dental"/>
    <n v="20"/>
    <x v="3"/>
    <s v="None"/>
    <x v="1"/>
    <s v="None"/>
  </r>
  <r>
    <n v="9105"/>
    <x v="11"/>
    <x v="1"/>
    <n v="30"/>
    <x v="1"/>
    <x v="0"/>
    <x v="1"/>
    <x v="0"/>
    <s v="Casey Martin"/>
    <s v="2024-05-05"/>
    <x v="1"/>
    <x v="2"/>
    <n v="81225"/>
    <s v="D"/>
    <n v="6202"/>
    <s v="Health + Dental"/>
    <n v="2"/>
    <x v="2"/>
    <s v="Excel Workshop"/>
    <x v="4"/>
    <s v="Certified Professional"/>
  </r>
  <r>
    <n v="9508"/>
    <x v="12"/>
    <x v="0"/>
    <n v="49"/>
    <x v="4"/>
    <x v="1"/>
    <x v="0"/>
    <x v="0"/>
    <s v="Amber Allen"/>
    <s v="2022-04-19"/>
    <x v="1"/>
    <x v="0"/>
    <n v="32788"/>
    <s v="D"/>
    <n v="4396"/>
    <s v="Health"/>
    <n v="13"/>
    <x v="4"/>
    <s v="None"/>
    <x v="3"/>
    <s v="Advanced Training"/>
  </r>
  <r>
    <n v="2436"/>
    <x v="13"/>
    <x v="1"/>
    <n v="60"/>
    <x v="3"/>
    <x v="4"/>
    <x v="0"/>
    <x v="3"/>
    <s v="Adam Johnson"/>
    <s v="2015-11-16"/>
    <x v="1"/>
    <x v="2"/>
    <n v="70452"/>
    <s v="D"/>
    <n v="9911"/>
    <s v="None"/>
    <n v="2"/>
    <x v="0"/>
    <s v="None"/>
    <x v="3"/>
    <s v="Certified Professional"/>
  </r>
  <r>
    <n v="4441"/>
    <x v="14"/>
    <x v="1"/>
    <n v="46"/>
    <x v="4"/>
    <x v="1"/>
    <x v="3"/>
    <x v="0"/>
    <s v="Nicole Dominguez"/>
    <s v="2023-09-09"/>
    <x v="0"/>
    <x v="1"/>
    <n v="33045"/>
    <s v="B"/>
    <n v="1456"/>
    <s v="None"/>
    <n v="16"/>
    <x v="3"/>
    <s v="Excel Workshop"/>
    <x v="3"/>
    <s v="None"/>
  </r>
  <r>
    <n v="5827"/>
    <x v="15"/>
    <x v="1"/>
    <n v="57"/>
    <x v="3"/>
    <x v="2"/>
    <x v="3"/>
    <x v="1"/>
    <s v="Andrew Best"/>
    <s v="2017-12-12"/>
    <x v="2"/>
    <x v="2"/>
    <n v="96429"/>
    <s v="C"/>
    <n v="4740"/>
    <s v="None"/>
    <n v="8"/>
    <x v="0"/>
    <s v="Excel Workshop"/>
    <x v="2"/>
    <s v="None"/>
  </r>
  <r>
    <n v="5184"/>
    <x v="16"/>
    <x v="0"/>
    <n v="24"/>
    <x v="0"/>
    <x v="1"/>
    <x v="2"/>
    <x v="2"/>
    <s v="Gabrielle Rodriguez"/>
    <s v="2017-03-10"/>
    <x v="2"/>
    <x v="2"/>
    <n v="33183"/>
    <s v="A"/>
    <n v="8114"/>
    <s v="None"/>
    <n v="4"/>
    <x v="2"/>
    <s v="Excel Workshop"/>
    <x v="4"/>
    <s v="Advanced Training"/>
  </r>
  <r>
    <n v="5874"/>
    <x v="3"/>
    <x v="0"/>
    <n v="35"/>
    <x v="1"/>
    <x v="4"/>
    <x v="3"/>
    <x v="0"/>
    <s v="Allison Harvey"/>
    <s v="2019-03-04"/>
    <x v="2"/>
    <x v="0"/>
    <n v="75065"/>
    <s v="C"/>
    <n v="7123"/>
    <s v="None"/>
    <n v="20"/>
    <x v="2"/>
    <s v="None"/>
    <x v="0"/>
    <s v="Advanced Training"/>
  </r>
  <r>
    <n v="9834"/>
    <x v="17"/>
    <x v="1"/>
    <n v="41"/>
    <x v="2"/>
    <x v="1"/>
    <x v="1"/>
    <x v="4"/>
    <s v="Tristan Mejia"/>
    <s v="2022-11-20"/>
    <x v="0"/>
    <x v="2"/>
    <n v="32877"/>
    <s v="C"/>
    <n v="6432"/>
    <s v="Health"/>
    <n v="11"/>
    <x v="0"/>
    <s v="None"/>
    <x v="0"/>
    <s v="None"/>
  </r>
  <r>
    <n v="5096"/>
    <x v="18"/>
    <x v="1"/>
    <n v="36"/>
    <x v="2"/>
    <x v="1"/>
    <x v="4"/>
    <x v="3"/>
    <s v="Mary Welch"/>
    <s v="2021-03-02"/>
    <x v="0"/>
    <x v="1"/>
    <n v="46811"/>
    <s v="D"/>
    <n v="1567"/>
    <s v="None"/>
    <n v="7"/>
    <x v="3"/>
    <s v="Excel Workshop"/>
    <x v="0"/>
    <s v="Advanced Training"/>
  </r>
  <r>
    <n v="2263"/>
    <x v="19"/>
    <x v="1"/>
    <n v="31"/>
    <x v="1"/>
    <x v="3"/>
    <x v="2"/>
    <x v="1"/>
    <s v="Douglas Miles"/>
    <s v="2021-08-01"/>
    <x v="1"/>
    <x v="1"/>
    <n v="87538"/>
    <s v="C"/>
    <n v="3588"/>
    <s v="Health + Dental"/>
    <n v="11"/>
    <x v="4"/>
    <s v="Excel Workshop"/>
    <x v="2"/>
    <s v="None"/>
  </r>
  <r>
    <n v="6505"/>
    <x v="20"/>
    <x v="0"/>
    <n v="28"/>
    <x v="1"/>
    <x v="0"/>
    <x v="1"/>
    <x v="4"/>
    <s v="Jessica Fleming"/>
    <s v="2015-08-14"/>
    <x v="0"/>
    <x v="1"/>
    <n v="73002"/>
    <s v="C"/>
    <n v="6296"/>
    <s v="Health"/>
    <n v="2"/>
    <x v="4"/>
    <s v="Excel Workshop"/>
    <x v="1"/>
    <s v="Certified Professional"/>
  </r>
  <r>
    <n v="8626"/>
    <x v="21"/>
    <x v="1"/>
    <n v="37"/>
    <x v="2"/>
    <x v="3"/>
    <x v="1"/>
    <x v="3"/>
    <s v="Christine Lee"/>
    <s v="2015-10-21"/>
    <x v="2"/>
    <x v="2"/>
    <n v="41653"/>
    <s v="D"/>
    <n v="9236"/>
    <s v="None"/>
    <n v="13"/>
    <x v="0"/>
    <s v="Excel Workshop"/>
    <x v="0"/>
    <s v="None"/>
  </r>
  <r>
    <n v="5979"/>
    <x v="22"/>
    <x v="0"/>
    <n v="31"/>
    <x v="1"/>
    <x v="0"/>
    <x v="0"/>
    <x v="2"/>
    <s v="Mario Smith DVM"/>
    <s v="2015-03-14"/>
    <x v="1"/>
    <x v="1"/>
    <n v="67582"/>
    <s v="A"/>
    <n v="1375"/>
    <s v="Health"/>
    <n v="20"/>
    <x v="3"/>
    <s v="Excel Workshop"/>
    <x v="1"/>
    <s v="None"/>
  </r>
  <r>
    <n v="3104"/>
    <x v="23"/>
    <x v="0"/>
    <n v="23"/>
    <x v="0"/>
    <x v="3"/>
    <x v="1"/>
    <x v="1"/>
    <s v="Joseph Francis"/>
    <s v="2024-05-22"/>
    <x v="2"/>
    <x v="1"/>
    <n v="37351"/>
    <s v="D"/>
    <n v="7858"/>
    <s v="Health + Dental"/>
    <n v="18"/>
    <x v="2"/>
    <s v="Leadership Training"/>
    <x v="1"/>
    <s v="Advanced Training"/>
  </r>
  <r>
    <n v="8967"/>
    <x v="24"/>
    <x v="0"/>
    <n v="48"/>
    <x v="4"/>
    <x v="4"/>
    <x v="2"/>
    <x v="0"/>
    <s v="Sarah Young"/>
    <s v="2017-03-19"/>
    <x v="0"/>
    <x v="1"/>
    <n v="36721"/>
    <s v="B"/>
    <n v="8820"/>
    <s v="Health + Dental"/>
    <n v="0"/>
    <x v="2"/>
    <s v="Excel Workshop"/>
    <x v="1"/>
    <s v="Certified Professional"/>
  </r>
  <r>
    <n v="5087"/>
    <x v="25"/>
    <x v="1"/>
    <n v="28"/>
    <x v="1"/>
    <x v="2"/>
    <x v="4"/>
    <x v="0"/>
    <s v="Aaron Hart"/>
    <s v="2021-09-15"/>
    <x v="1"/>
    <x v="2"/>
    <n v="46326"/>
    <s v="B"/>
    <n v="9189"/>
    <s v="Health + Dental"/>
    <n v="8"/>
    <x v="1"/>
    <s v="Leadership Training"/>
    <x v="3"/>
    <s v="Advanced Training"/>
  </r>
  <r>
    <n v="3358"/>
    <x v="26"/>
    <x v="1"/>
    <n v="30"/>
    <x v="1"/>
    <x v="1"/>
    <x v="3"/>
    <x v="1"/>
    <s v="Brian Boyd"/>
    <s v="2022-05-09"/>
    <x v="0"/>
    <x v="0"/>
    <n v="59007"/>
    <s v="C"/>
    <n v="3380"/>
    <s v="Health"/>
    <n v="17"/>
    <x v="3"/>
    <s v="None"/>
    <x v="4"/>
    <s v="Certified Professional"/>
  </r>
  <r>
    <n v="8256"/>
    <x v="27"/>
    <x v="1"/>
    <n v="46"/>
    <x v="4"/>
    <x v="3"/>
    <x v="0"/>
    <x v="3"/>
    <s v="Steven Krueger"/>
    <s v="2017-06-22"/>
    <x v="0"/>
    <x v="1"/>
    <n v="52020"/>
    <s v="B"/>
    <n v="9585"/>
    <s v="Health + Dental"/>
    <n v="0"/>
    <x v="1"/>
    <s v="Excel Workshop"/>
    <x v="4"/>
    <s v="None"/>
  </r>
  <r>
    <n v="5763"/>
    <x v="28"/>
    <x v="1"/>
    <n v="44"/>
    <x v="2"/>
    <x v="1"/>
    <x v="2"/>
    <x v="1"/>
    <s v="Debra Williams"/>
    <s v="2020-11-28"/>
    <x v="2"/>
    <x v="1"/>
    <n v="98961"/>
    <s v="D"/>
    <n v="2688"/>
    <s v="Health"/>
    <n v="2"/>
    <x v="4"/>
    <s v="Excel Workshop"/>
    <x v="4"/>
    <s v="Certified Professional"/>
  </r>
  <r>
    <n v="6838"/>
    <x v="29"/>
    <x v="1"/>
    <n v="45"/>
    <x v="2"/>
    <x v="2"/>
    <x v="3"/>
    <x v="2"/>
    <s v="Karen Mitchell"/>
    <s v="2015-08-30"/>
    <x v="2"/>
    <x v="1"/>
    <n v="81943"/>
    <s v="C"/>
    <n v="2255"/>
    <s v="Health"/>
    <n v="18"/>
    <x v="2"/>
    <s v="None"/>
    <x v="2"/>
    <s v="Certified Professional"/>
  </r>
  <r>
    <n v="9544"/>
    <x v="30"/>
    <x v="1"/>
    <n v="52"/>
    <x v="4"/>
    <x v="4"/>
    <x v="2"/>
    <x v="1"/>
    <s v="Joseph Sanders"/>
    <s v="2018-10-27"/>
    <x v="2"/>
    <x v="1"/>
    <n v="47627"/>
    <s v="C"/>
    <n v="1221"/>
    <s v="None"/>
    <n v="4"/>
    <x v="3"/>
    <s v="None"/>
    <x v="1"/>
    <s v="None"/>
  </r>
  <r>
    <n v="8012"/>
    <x v="31"/>
    <x v="0"/>
    <n v="52"/>
    <x v="4"/>
    <x v="0"/>
    <x v="0"/>
    <x v="4"/>
    <s v="Shelly George"/>
    <s v="2018-08-26"/>
    <x v="2"/>
    <x v="1"/>
    <n v="56162"/>
    <s v="D"/>
    <n v="6560"/>
    <s v="Health + Dental"/>
    <n v="9"/>
    <x v="1"/>
    <s v="Excel Workshop"/>
    <x v="3"/>
    <s v="None"/>
  </r>
  <r>
    <n v="9374"/>
    <x v="32"/>
    <x v="0"/>
    <n v="42"/>
    <x v="2"/>
    <x v="1"/>
    <x v="2"/>
    <x v="2"/>
    <s v="Nicole Houston"/>
    <s v="2023-07-24"/>
    <x v="1"/>
    <x v="2"/>
    <n v="95734"/>
    <s v="C"/>
    <n v="4854"/>
    <s v="Health"/>
    <n v="13"/>
    <x v="2"/>
    <s v="Leadership Training"/>
    <x v="0"/>
    <s v="Certified Professional"/>
  </r>
  <r>
    <n v="3487"/>
    <x v="33"/>
    <x v="1"/>
    <n v="58"/>
    <x v="3"/>
    <x v="1"/>
    <x v="1"/>
    <x v="3"/>
    <s v="Kristin Shaffer"/>
    <s v="2018-07-09"/>
    <x v="1"/>
    <x v="2"/>
    <n v="74789"/>
    <s v="C"/>
    <n v="8101"/>
    <s v="Health + Dental"/>
    <n v="14"/>
    <x v="4"/>
    <s v="Excel Workshop"/>
    <x v="2"/>
    <s v="None"/>
  </r>
  <r>
    <n v="8445"/>
    <x v="34"/>
    <x v="0"/>
    <n v="24"/>
    <x v="0"/>
    <x v="4"/>
    <x v="0"/>
    <x v="3"/>
    <s v="Joel Aguilar"/>
    <s v="2016-12-21"/>
    <x v="0"/>
    <x v="2"/>
    <n v="30137"/>
    <s v="B"/>
    <n v="4031"/>
    <s v="None"/>
    <n v="5"/>
    <x v="3"/>
    <s v="None"/>
    <x v="1"/>
    <s v="Certified Professional"/>
  </r>
  <r>
    <n v="1550"/>
    <x v="35"/>
    <x v="1"/>
    <n v="21"/>
    <x v="0"/>
    <x v="1"/>
    <x v="0"/>
    <x v="0"/>
    <s v="Michael Wade"/>
    <s v="2019-06-27"/>
    <x v="0"/>
    <x v="2"/>
    <n v="95510"/>
    <s v="C"/>
    <n v="6811"/>
    <s v="Health"/>
    <n v="18"/>
    <x v="1"/>
    <s v="Excel Workshop"/>
    <x v="4"/>
    <s v="Certified Professional"/>
  </r>
  <r>
    <n v="9968"/>
    <x v="36"/>
    <x v="1"/>
    <n v="58"/>
    <x v="3"/>
    <x v="1"/>
    <x v="3"/>
    <x v="0"/>
    <s v="Jessica Walsh"/>
    <s v="2021-08-27"/>
    <x v="1"/>
    <x v="0"/>
    <n v="80325"/>
    <s v="B"/>
    <n v="6230"/>
    <s v="Health"/>
    <n v="5"/>
    <x v="1"/>
    <s v="None"/>
    <x v="2"/>
    <s v="Advanced Training"/>
  </r>
  <r>
    <n v="8029"/>
    <x v="37"/>
    <x v="0"/>
    <n v="57"/>
    <x v="3"/>
    <x v="3"/>
    <x v="4"/>
    <x v="4"/>
    <s v="Kelly Mack"/>
    <s v="2017-05-28"/>
    <x v="2"/>
    <x v="1"/>
    <n v="34109"/>
    <s v="B"/>
    <n v="9232"/>
    <s v="Health"/>
    <n v="13"/>
    <x v="3"/>
    <s v="Leadership Training"/>
    <x v="0"/>
    <s v="Certified Professional"/>
  </r>
  <r>
    <n v="8847"/>
    <x v="38"/>
    <x v="1"/>
    <n v="41"/>
    <x v="2"/>
    <x v="3"/>
    <x v="3"/>
    <x v="0"/>
    <s v="John Conley"/>
    <s v="2022-01-30"/>
    <x v="2"/>
    <x v="2"/>
    <n v="73330"/>
    <s v="C"/>
    <n v="2276"/>
    <s v="Health + Dental"/>
    <n v="5"/>
    <x v="0"/>
    <s v="None"/>
    <x v="1"/>
    <s v="Advanced Training"/>
  </r>
  <r>
    <n v="1955"/>
    <x v="39"/>
    <x v="0"/>
    <n v="58"/>
    <x v="3"/>
    <x v="2"/>
    <x v="2"/>
    <x v="1"/>
    <s v="Aaron Baker"/>
    <s v="2017-04-20"/>
    <x v="1"/>
    <x v="2"/>
    <n v="46567"/>
    <s v="A"/>
    <n v="2825"/>
    <s v="Health"/>
    <n v="15"/>
    <x v="3"/>
    <s v="None"/>
    <x v="4"/>
    <s v="Advanced Training"/>
  </r>
  <r>
    <n v="4522"/>
    <x v="40"/>
    <x v="0"/>
    <n v="36"/>
    <x v="2"/>
    <x v="0"/>
    <x v="4"/>
    <x v="0"/>
    <s v="Christopher Bass"/>
    <s v="2019-07-22"/>
    <x v="1"/>
    <x v="1"/>
    <n v="39795"/>
    <s v="A"/>
    <n v="1670"/>
    <s v="None"/>
    <n v="0"/>
    <x v="2"/>
    <s v="Excel Workshop"/>
    <x v="3"/>
    <s v="None"/>
  </r>
  <r>
    <n v="3078"/>
    <x v="41"/>
    <x v="0"/>
    <n v="21"/>
    <x v="0"/>
    <x v="0"/>
    <x v="0"/>
    <x v="4"/>
    <s v="Sean Tucker PhD"/>
    <s v="2018-11-29"/>
    <x v="1"/>
    <x v="2"/>
    <n v="59506"/>
    <s v="A"/>
    <n v="4428"/>
    <s v="Health + Dental"/>
    <n v="0"/>
    <x v="0"/>
    <s v="None"/>
    <x v="3"/>
    <s v="Certified Professional"/>
  </r>
  <r>
    <n v="6357"/>
    <x v="42"/>
    <x v="0"/>
    <n v="46"/>
    <x v="4"/>
    <x v="2"/>
    <x v="1"/>
    <x v="4"/>
    <s v="Jacob Scott"/>
    <s v="2022-11-14"/>
    <x v="1"/>
    <x v="2"/>
    <n v="49058"/>
    <s v="B"/>
    <n v="4396"/>
    <s v="None"/>
    <n v="5"/>
    <x v="0"/>
    <s v="None"/>
    <x v="3"/>
    <s v="None"/>
  </r>
  <r>
    <n v="7951"/>
    <x v="43"/>
    <x v="0"/>
    <n v="36"/>
    <x v="2"/>
    <x v="3"/>
    <x v="2"/>
    <x v="4"/>
    <s v="Joel Park"/>
    <s v="2016-02-23"/>
    <x v="1"/>
    <x v="0"/>
    <n v="98612"/>
    <s v="A"/>
    <n v="1168"/>
    <s v="None"/>
    <n v="9"/>
    <x v="2"/>
    <s v="Excel Workshop"/>
    <x v="0"/>
    <s v="Certified Professional"/>
  </r>
  <r>
    <n v="9228"/>
    <x v="44"/>
    <x v="1"/>
    <n v="41"/>
    <x v="2"/>
    <x v="4"/>
    <x v="3"/>
    <x v="1"/>
    <s v="Russell Marshall"/>
    <s v="2018-05-18"/>
    <x v="2"/>
    <x v="1"/>
    <n v="38201"/>
    <s v="A"/>
    <n v="7111"/>
    <s v="Health"/>
    <n v="8"/>
    <x v="1"/>
    <s v="Leadership Training"/>
    <x v="3"/>
    <s v="None"/>
  </r>
  <r>
    <n v="8988"/>
    <x v="45"/>
    <x v="1"/>
    <n v="25"/>
    <x v="0"/>
    <x v="0"/>
    <x v="2"/>
    <x v="2"/>
    <s v="James Holden"/>
    <s v="2024-03-09"/>
    <x v="2"/>
    <x v="1"/>
    <n v="92919"/>
    <s v="D"/>
    <n v="9497"/>
    <s v="Health"/>
    <n v="7"/>
    <x v="2"/>
    <s v="None"/>
    <x v="3"/>
    <s v="Advanced Training"/>
  </r>
  <r>
    <n v="1952"/>
    <x v="46"/>
    <x v="0"/>
    <n v="29"/>
    <x v="1"/>
    <x v="4"/>
    <x v="0"/>
    <x v="1"/>
    <s v="Thomas Murphy"/>
    <s v="2024-03-27"/>
    <x v="0"/>
    <x v="2"/>
    <n v="45188"/>
    <s v="A"/>
    <n v="9591"/>
    <s v="Health + Dental"/>
    <n v="18"/>
    <x v="3"/>
    <s v="Leadership Training"/>
    <x v="3"/>
    <s v="None"/>
  </r>
  <r>
    <n v="5760"/>
    <x v="47"/>
    <x v="0"/>
    <n v="59"/>
    <x v="3"/>
    <x v="2"/>
    <x v="1"/>
    <x v="0"/>
    <s v="Mark Abbott"/>
    <s v="2019-12-23"/>
    <x v="0"/>
    <x v="1"/>
    <n v="34927"/>
    <s v="D"/>
    <n v="6996"/>
    <s v="Health + Dental"/>
    <n v="16"/>
    <x v="0"/>
    <s v="Excel Workshop"/>
    <x v="0"/>
    <s v="Certified Professional"/>
  </r>
  <r>
    <n v="5742"/>
    <x v="48"/>
    <x v="0"/>
    <n v="27"/>
    <x v="1"/>
    <x v="0"/>
    <x v="2"/>
    <x v="3"/>
    <s v="Robin Lynch"/>
    <s v="2016-08-25"/>
    <x v="0"/>
    <x v="1"/>
    <n v="33183"/>
    <s v="A"/>
    <n v="1659"/>
    <s v="None"/>
    <n v="11"/>
    <x v="0"/>
    <s v="Leadership Training"/>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645A1F-4D59-4AE8-9CE3-29D001C15F32}"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2:B68" firstHeaderRow="1" firstDataRow="1" firstDataCol="1"/>
  <pivotFields count="21">
    <pivotField dataField="1" showAll="0"/>
    <pivotField showAll="0"/>
    <pivotField showAll="0">
      <items count="3">
        <item x="0"/>
        <item x="1"/>
        <item t="default"/>
      </items>
    </pivotField>
    <pivotField showAll="0"/>
    <pivotField showAll="0">
      <items count="6">
        <item x="0"/>
        <item x="1"/>
        <item x="2"/>
        <item x="4"/>
        <item x="3"/>
        <item t="default"/>
      </items>
    </pivotField>
    <pivotField axis="axisRow" showAll="0">
      <items count="6">
        <item x="1"/>
        <item x="0"/>
        <item x="4"/>
        <item x="3"/>
        <item x="2"/>
        <item t="default"/>
      </items>
    </pivotField>
    <pivotField showAll="0">
      <items count="6">
        <item x="4"/>
        <item x="1"/>
        <item x="3"/>
        <item x="2"/>
        <item x="0"/>
        <item t="default"/>
      </items>
    </pivotField>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Employee ID" fld="0" subtotal="count" baseField="5"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6882A4-A415-4584-929E-7F792821E447}"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4:B60" firstHeaderRow="1" firstDataRow="1" firstDataCol="1"/>
  <pivotFields count="21">
    <pivotField showAll="0"/>
    <pivotField showAll="0"/>
    <pivotField showAll="0">
      <items count="3">
        <item x="0"/>
        <item x="1"/>
        <item t="default"/>
      </items>
    </pivotField>
    <pivotField showAll="0"/>
    <pivotField showAll="0">
      <items count="6">
        <item x="0"/>
        <item x="1"/>
        <item x="2"/>
        <item x="4"/>
        <item x="3"/>
        <item t="default"/>
      </items>
    </pivotField>
    <pivotField showAll="0"/>
    <pivotField axis="axisRow" showAll="0">
      <items count="6">
        <item x="4"/>
        <item x="1"/>
        <item x="3"/>
        <item x="2"/>
        <item x="0"/>
        <item t="default"/>
      </items>
    </pivotField>
    <pivotField showAll="0">
      <items count="6">
        <item x="0"/>
        <item x="1"/>
        <item x="4"/>
        <item x="2"/>
        <item x="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6"/>
  </rowFields>
  <rowItems count="6">
    <i>
      <x/>
    </i>
    <i>
      <x v="1"/>
    </i>
    <i>
      <x v="2"/>
    </i>
    <i>
      <x v="3"/>
    </i>
    <i>
      <x v="4"/>
    </i>
    <i t="grand">
      <x/>
    </i>
  </rowItems>
  <colItems count="1">
    <i/>
  </colItems>
  <dataFields count="1">
    <dataField name="Average of Salary" fld="12" subtotal="average" baseField="6" baseItem="0"/>
  </dataFields>
  <formats count="2">
    <format dxfId="66">
      <pivotArea collapsedLevelsAreSubtotals="1" fieldPosition="0">
        <references count="1">
          <reference field="6" count="0"/>
        </references>
      </pivotArea>
    </format>
    <format dxfId="65">
      <pivotArea collapsedLevelsAreSubtotals="1" fieldPosition="0">
        <references count="1">
          <reference field="6"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A96153-3042-4161-87F0-B5CCA54D53B9}" name="PivotTable1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40:J44" firstHeaderRow="1" firstDataRow="1" firstDataCol="1"/>
  <pivotFields count="21">
    <pivotField dataField="1" showAll="0"/>
    <pivotField showAll="0"/>
    <pivotField showAll="0">
      <items count="3">
        <item x="0"/>
        <item x="1"/>
        <item t="default"/>
      </items>
    </pivotField>
    <pivotField showAll="0"/>
    <pivotField showAll="0">
      <items count="6">
        <item x="0"/>
        <item x="1"/>
        <item x="2"/>
        <item x="4"/>
        <item x="3"/>
        <item t="default"/>
      </items>
    </pivotField>
    <pivotField showAll="0"/>
    <pivotField showAll="0">
      <items count="6">
        <item x="4"/>
        <item x="1"/>
        <item x="3"/>
        <item x="2"/>
        <item x="0"/>
        <item t="default"/>
      </items>
    </pivotField>
    <pivotField showAll="0">
      <items count="6">
        <item x="0"/>
        <item x="1"/>
        <item x="4"/>
        <item x="2"/>
        <item x="3"/>
        <item t="default"/>
      </items>
    </pivotField>
    <pivotField showAll="0"/>
    <pivotField showAll="0"/>
    <pivotField showAll="0">
      <items count="4">
        <item x="1"/>
        <item x="0"/>
        <item x="2"/>
        <item t="default"/>
      </items>
    </pivotField>
    <pivotField axis="axisRow" showAll="0">
      <items count="4">
        <item x="1"/>
        <item x="0"/>
        <item x="2"/>
        <item t="default"/>
      </items>
    </pivotField>
    <pivotField showAll="0"/>
    <pivotField showAll="0"/>
    <pivotField showAll="0"/>
    <pivotField showAll="0"/>
    <pivotField showAll="0"/>
    <pivotField showAll="0"/>
    <pivotField showAll="0"/>
    <pivotField showAll="0">
      <items count="6">
        <item x="3"/>
        <item x="0"/>
        <item x="4"/>
        <item x="1"/>
        <item x="2"/>
        <item t="default"/>
      </items>
    </pivotField>
    <pivotField showAll="0"/>
  </pivotFields>
  <rowFields count="1">
    <field x="11"/>
  </rowFields>
  <rowItems count="4">
    <i>
      <x/>
    </i>
    <i>
      <x v="1"/>
    </i>
    <i>
      <x v="2"/>
    </i>
    <i t="grand">
      <x/>
    </i>
  </rowItems>
  <colItems count="1">
    <i/>
  </colItems>
  <dataFields count="1">
    <dataField name="Count of Employee ID" fld="0" subtotal="count" showDataAs="percentOfTotal" baseField="11" baseItem="0" numFmtId="10"/>
  </dataFields>
  <formats count="2">
    <format dxfId="67">
      <pivotArea collapsedLevelsAreSubtotals="1" fieldPosition="0">
        <references count="1">
          <reference field="11" count="1">
            <x v="0"/>
          </reference>
        </references>
      </pivotArea>
    </format>
    <format dxfId="68">
      <pivotArea collapsedLevelsAreSubtotals="1" fieldPosition="0">
        <references count="1">
          <reference field="11" count="2">
            <x v="1"/>
            <x v="2"/>
          </reference>
        </references>
      </pivotArea>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51E2C1-F28A-48BD-9119-B4F9345510F2}"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2:F18" firstHeaderRow="1" firstDataRow="1" firstDataCol="1"/>
  <pivotFields count="21">
    <pivotField dataField="1" showAll="0"/>
    <pivotField showAll="0"/>
    <pivotField showAll="0">
      <items count="3">
        <item x="0"/>
        <item x="1"/>
        <item t="default"/>
      </items>
    </pivotField>
    <pivotField showAll="0"/>
    <pivotField showAll="0">
      <items count="6">
        <item x="0"/>
        <item x="1"/>
        <item x="2"/>
        <item x="4"/>
        <item x="3"/>
        <item t="default"/>
      </items>
    </pivotField>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6">
    <i>
      <x/>
    </i>
    <i>
      <x v="1"/>
    </i>
    <i>
      <x v="2"/>
    </i>
    <i>
      <x v="3"/>
    </i>
    <i>
      <x v="4"/>
    </i>
    <i t="grand">
      <x/>
    </i>
  </rowItems>
  <colItems count="1">
    <i/>
  </colItems>
  <dataFields count="1">
    <dataField name="Count of Employee ID" fld="0" subtotal="count" baseField="19" baseItem="0"/>
  </dataFields>
  <formats count="1">
    <format dxfId="75">
      <pivotArea collapsedLevelsAreSubtotals="1" fieldPosition="0">
        <references count="1">
          <reference field="19"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C73C71-3078-48B8-BAB3-FAEE21569BE9}"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12:J16" firstHeaderRow="1" firstDataRow="1" firstDataCol="1"/>
  <pivotFields count="21">
    <pivotField dataField="1" showAll="0"/>
    <pivotField showAll="0"/>
    <pivotField showAll="0">
      <items count="3">
        <item x="0"/>
        <item x="1"/>
        <item t="default"/>
      </items>
    </pivotField>
    <pivotField showAll="0"/>
    <pivotField showAll="0">
      <items count="6">
        <item x="0"/>
        <item x="1"/>
        <item x="2"/>
        <item x="4"/>
        <item x="3"/>
        <item t="default"/>
      </items>
    </pivotField>
    <pivotField showAll="0"/>
    <pivotField showAll="0"/>
    <pivotField showAll="0">
      <items count="6">
        <item x="0"/>
        <item x="1"/>
        <item x="4"/>
        <item x="2"/>
        <item x="3"/>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Employee ID" fld="0" subtotal="count" baseField="2"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0" count="1" selected="0">
            <x v="0"/>
          </reference>
        </references>
      </pivotArea>
    </chartFormat>
    <chartFormat chart="3" format="7">
      <pivotArea type="data" outline="0" fieldPosition="0">
        <references count="2">
          <reference field="4294967294" count="1" selected="0">
            <x v="0"/>
          </reference>
          <reference field="10" count="1" selected="0">
            <x v="1"/>
          </reference>
        </references>
      </pivotArea>
    </chartFormat>
    <chartFormat chart="3"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C171E0-72B1-46A9-9653-935424520020}"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21">
    <pivotField dataField="1" showAll="0"/>
    <pivotField showAll="0"/>
    <pivotField axis="axisRow" showAll="0" sortType="descending">
      <items count="3">
        <item x="1"/>
        <item x="0"/>
        <item t="default"/>
      </items>
    </pivotField>
    <pivotField showAll="0"/>
    <pivotField showAll="0"/>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Employee ID" fld="0" subtotal="count" showDataAs="percentOfTotal" baseField="2" baseItem="0" numFmtId="10"/>
  </dataFields>
  <formats count="2">
    <format dxfId="76">
      <pivotArea outline="0" fieldPosition="0">
        <references count="1">
          <reference field="4294967294" count="1">
            <x v="0"/>
          </reference>
        </references>
      </pivotArea>
    </format>
    <format dxfId="77">
      <pivotArea collapsedLevelsAreSubtotals="1" fieldPosition="0">
        <references count="1">
          <reference field="2" count="0"/>
        </references>
      </pivotArea>
    </format>
  </format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50A36D-D1A2-489B-9599-10DF248F1251}" name="PivotTable1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51:H58" firstHeaderRow="1" firstDataRow="2" firstDataCol="1"/>
  <pivotFields count="21">
    <pivotField dataField="1" showAll="0"/>
    <pivotField showAll="0"/>
    <pivotField axis="axisCol" showAll="0">
      <items count="3">
        <item x="0"/>
        <item x="1"/>
        <item t="default"/>
      </items>
    </pivotField>
    <pivotField showAll="0"/>
    <pivotField axis="axisRow" showAll="0">
      <items count="6">
        <item x="0"/>
        <item x="1"/>
        <item x="2"/>
        <item x="4"/>
        <item x="3"/>
        <item t="default"/>
      </items>
    </pivotField>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6">
        <item x="3"/>
        <item x="0"/>
        <item x="4"/>
        <item x="1"/>
        <item x="2"/>
        <item t="default"/>
      </items>
    </pivotField>
    <pivotField showAll="0"/>
  </pivotFields>
  <rowFields count="1">
    <field x="4"/>
  </rowFields>
  <rowItems count="6">
    <i>
      <x/>
    </i>
    <i>
      <x v="1"/>
    </i>
    <i>
      <x v="2"/>
    </i>
    <i>
      <x v="3"/>
    </i>
    <i>
      <x v="4"/>
    </i>
    <i t="grand">
      <x/>
    </i>
  </rowItems>
  <colFields count="1">
    <field x="2"/>
  </colFields>
  <colItems count="3">
    <i>
      <x/>
    </i>
    <i>
      <x v="1"/>
    </i>
    <i t="grand">
      <x/>
    </i>
  </colItems>
  <dataFields count="1">
    <dataField name="Count of Employee ID" fld="0" subtotal="count" baseField="4" baseItem="0"/>
  </dataFields>
  <chartFormats count="2">
    <chartFormat chart="6" format="4" series="1">
      <pivotArea type="data" outline="0" fieldPosition="0">
        <references count="2">
          <reference field="4294967294" count="1" selected="0">
            <x v="0"/>
          </reference>
          <reference field="2" count="1" selected="0">
            <x v="0"/>
          </reference>
        </references>
      </pivotArea>
    </chartFormat>
    <chartFormat chart="6"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190A31-9571-4CBB-B5FD-0E9DE952A470}" name="PivotTable11" cacheId="1" applyNumberFormats="0" applyBorderFormats="0" applyFontFormats="0" applyPatternFormats="0" applyAlignmentFormats="0" applyWidthHeightFormats="1" dataCaption="Values" tag="b833c74a-35d2-467d-ac2c-cc263058c8dc" updatedVersion="8" minRefreshableVersion="3" useAutoFormatting="1" subtotalHiddenItems="1" itemPrintTitles="1" createdVersion="8" indent="0" outline="1" outlineData="1" multipleFieldFilters="0">
  <location ref="B28:B29" firstHeaderRow="1" firstDataRow="1" firstDataCol="0"/>
  <pivotFields count="1">
    <pivotField dataField="1" subtotalTop="0" showAll="0" defaultSubtotal="0"/>
  </pivotFields>
  <rowItems count="1">
    <i/>
  </rowItems>
  <colItems count="1">
    <i/>
  </colItems>
  <dataFields count="1">
    <dataField name="avg performace rating" fld="0" subtotal="count" baseField="0" baseItem="0"/>
  </dataFields>
  <formats count="2">
    <format dxfId="102">
      <pivotArea outline="0" collapsedLevelsAreSubtotals="1" fieldPosition="0"/>
    </format>
    <format dxfId="101">
      <pivotArea outline="0" collapsedLevelsAreSubtotals="1" fieldPosition="0"/>
    </format>
  </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avg performace rating"/>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si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1BBEF2-3DB9-4377-8A51-D2E55108F6BC}"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7:B38" firstHeaderRow="1" firstDataRow="1" firstDataCol="0"/>
  <pivotFields count="21">
    <pivotField dataField="1" showAll="0"/>
    <pivotField showAll="0"/>
    <pivotField showAll="0">
      <items count="3">
        <item x="0"/>
        <item x="1"/>
        <item t="default"/>
      </items>
    </pivotField>
    <pivotField showAll="0"/>
    <pivotField showAll="0">
      <items count="6">
        <item x="0"/>
        <item x="1"/>
        <item x="2"/>
        <item x="4"/>
        <item x="3"/>
        <item t="default"/>
      </items>
    </pivotField>
    <pivotField showAll="0"/>
    <pivotField showAll="0"/>
    <pivotField showAll="0">
      <items count="6">
        <item x="0"/>
        <item x="1"/>
        <item x="4"/>
        <item x="2"/>
        <item x="3"/>
        <item t="default"/>
      </items>
    </pivotField>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 ID" fld="0" subtotal="count" baseField="0" baseItem="0"/>
  </dataFields>
  <formats count="4">
    <format dxfId="71">
      <pivotArea type="all" dataOnly="0" outline="0" fieldPosition="0"/>
    </format>
    <format dxfId="72">
      <pivotArea outline="0" collapsedLevelsAreSubtotals="1" fieldPosition="0"/>
    </format>
    <format dxfId="73">
      <pivotArea dataOnly="0" labelOnly="1" outline="0" axis="axisValues" fieldPosition="0"/>
    </format>
    <format dxfId="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CB94D6B-FD50-47DF-BCCE-E84D9210F576}"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9" firstHeaderRow="1" firstDataRow="1" firstDataCol="1"/>
  <pivotFields count="21">
    <pivotField showAll="0"/>
    <pivotField showAll="0"/>
    <pivotField showAll="0">
      <items count="3">
        <item x="0"/>
        <item x="1"/>
        <item t="default"/>
      </items>
    </pivotField>
    <pivotField showAll="0"/>
    <pivotField showAll="0">
      <items count="6">
        <item x="0"/>
        <item x="1"/>
        <item x="2"/>
        <item x="4"/>
        <item x="3"/>
        <item t="default"/>
      </items>
    </pivotField>
    <pivotField showAll="0"/>
    <pivotField axis="axisRow" showAll="0">
      <items count="6">
        <item x="4"/>
        <item x="1"/>
        <item x="3"/>
        <item x="2"/>
        <item x="0"/>
        <item t="default"/>
      </items>
    </pivotField>
    <pivotField showAll="0">
      <items count="6">
        <item x="0"/>
        <item x="1"/>
        <item x="4"/>
        <item x="2"/>
        <item x="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6"/>
  </rowFields>
  <rowItems count="6">
    <i>
      <x/>
    </i>
    <i>
      <x v="1"/>
    </i>
    <i>
      <x v="2"/>
    </i>
    <i>
      <x v="3"/>
    </i>
    <i>
      <x v="4"/>
    </i>
    <i t="grand">
      <x/>
    </i>
  </rowItems>
  <colItems count="1">
    <i/>
  </colItems>
  <dataFields count="1">
    <dataField name="Sum of Salary"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E3E2A8A-056D-436D-A906-B263C987899B}"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6:B22" firstHeaderRow="1" firstDataRow="1" firstDataCol="1"/>
  <pivotFields count="21">
    <pivotField dataField="1" showAll="0"/>
    <pivotField showAll="0"/>
    <pivotField showAll="0">
      <items count="3">
        <item x="0"/>
        <item x="1"/>
        <item t="default"/>
      </items>
    </pivotField>
    <pivotField showAll="0"/>
    <pivotField axis="axisRow" showAll="0">
      <items count="6">
        <item x="0"/>
        <item x="1"/>
        <item x="2"/>
        <item x="4"/>
        <item x="3"/>
        <item t="default"/>
      </items>
    </pivotField>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Count of Employee ID"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8BC1E43-D0F2-42DC-A8C8-1059DBDF4E18}"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20:E23" firstHeaderRow="1" firstDataRow="1" firstDataCol="1"/>
  <pivotFields count="21">
    <pivotField dataField="1" showAll="0"/>
    <pivotField showAll="0"/>
    <pivotField axis="axisRow" showAll="0" sortType="ascending">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Employee ID" fld="0" subtotal="count" showDataAs="percentOfTotal" baseField="2" baseItem="0" numFmtId="10"/>
  </dataFields>
  <formats count="2">
    <format dxfId="69">
      <pivotArea outline="0" fieldPosition="0">
        <references count="1">
          <reference field="4294967294" count="1">
            <x v="0"/>
          </reference>
        </references>
      </pivotArea>
    </format>
    <format dxfId="70">
      <pivotArea collapsedLevelsAreSubtotals="1" fieldPosition="0">
        <references count="1">
          <reference field="2" count="0"/>
        </references>
      </pivotArea>
    </format>
  </formats>
  <chartFormats count="6">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2" count="1" selected="0">
            <x v="0"/>
          </reference>
        </references>
      </pivotArea>
    </chartFormat>
    <chartFormat chart="7"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BA22C4C-5BD3-46A6-A6A7-9874DA514E47}"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B14" firstHeaderRow="1" firstDataRow="1" firstDataCol="1"/>
  <pivotFields count="21">
    <pivotField dataField="1" showAll="0"/>
    <pivotField showAll="0"/>
    <pivotField showAll="0">
      <items count="3">
        <item x="0"/>
        <item x="1"/>
        <item t="default"/>
      </items>
    </pivotField>
    <pivotField showAll="0"/>
    <pivotField showAll="0"/>
    <pivotField showAll="0"/>
    <pivotField showAll="0"/>
    <pivotField axis="axisRow"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Count of Employee ID"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CA8EDFC-C23F-4568-BD0E-ABE761C8DE22}"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9" firstHeaderRow="1" firstDataRow="1" firstDataCol="1"/>
  <pivotFields count="21">
    <pivotField dataField="1" showAll="0"/>
    <pivotField showAll="0"/>
    <pivotField showAll="0">
      <items count="3">
        <item x="0"/>
        <item x="1"/>
        <item t="default"/>
      </items>
    </pivotField>
    <pivotField showAll="0"/>
    <pivotField showAll="0">
      <items count="6">
        <item x="0"/>
        <item x="1"/>
        <item x="2"/>
        <item x="4"/>
        <item x="3"/>
        <item t="default"/>
      </items>
    </pivotField>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axis="axisRow" showAll="0">
      <items count="6">
        <item x="0"/>
        <item x="2"/>
        <item x="3"/>
        <item x="1"/>
        <item x="4"/>
        <item t="default"/>
      </items>
    </pivotField>
    <pivotField showAll="0"/>
    <pivotField showAll="0"/>
    <pivotField showAll="0"/>
  </pivotFields>
  <rowFields count="1">
    <field x="17"/>
  </rowFields>
  <rowItems count="6">
    <i>
      <x/>
    </i>
    <i>
      <x v="1"/>
    </i>
    <i>
      <x v="2"/>
    </i>
    <i>
      <x v="3"/>
    </i>
    <i>
      <x v="4"/>
    </i>
    <i t="grand">
      <x/>
    </i>
  </rowItems>
  <colItems count="1">
    <i/>
  </colItems>
  <dataFields count="1">
    <dataField name="Count of Employee ID"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258CE37-A1AB-44F4-A89E-B898C9FB9A0D}"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9:J35" firstHeaderRow="1" firstDataRow="1" firstDataCol="1"/>
  <pivotFields count="21">
    <pivotField dataField="1" showAll="0"/>
    <pivotField showAll="0"/>
    <pivotField showAll="0">
      <items count="3">
        <item x="0"/>
        <item x="1"/>
        <item t="default"/>
      </items>
    </pivotField>
    <pivotField showAll="0"/>
    <pivotField showAll="0">
      <items count="6">
        <item x="0"/>
        <item x="1"/>
        <item x="2"/>
        <item x="4"/>
        <item x="3"/>
        <item t="default"/>
      </items>
    </pivotField>
    <pivotField showAll="0"/>
    <pivotField showAll="0">
      <items count="6">
        <item x="4"/>
        <item x="1"/>
        <item x="3"/>
        <item x="2"/>
        <item x="0"/>
        <item t="default"/>
      </items>
    </pivotField>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6">
    <i>
      <x/>
    </i>
    <i>
      <x v="1"/>
    </i>
    <i>
      <x v="2"/>
    </i>
    <i>
      <x v="3"/>
    </i>
    <i>
      <x v="4"/>
    </i>
    <i t="grand">
      <x/>
    </i>
  </rowItems>
  <colItems count="1">
    <i/>
  </colItems>
  <dataFields count="1">
    <dataField name="Count of Employee ID" fld="0" subtotal="count" baseField="1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32ABC39-4198-4E8C-8DB0-9F62F09ADACC}"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18:J24" firstHeaderRow="1" firstDataRow="1" firstDataCol="1"/>
  <pivotFields count="21">
    <pivotField showAll="0"/>
    <pivotField showAll="0"/>
    <pivotField showAll="0">
      <items count="3">
        <item x="0"/>
        <item x="1"/>
        <item t="default"/>
      </items>
    </pivotField>
    <pivotField showAll="0"/>
    <pivotField showAll="0">
      <items count="6">
        <item x="0"/>
        <item x="1"/>
        <item x="2"/>
        <item x="4"/>
        <item x="3"/>
        <item t="default"/>
      </items>
    </pivotField>
    <pivotField showAll="0"/>
    <pivotField axis="axisRow" showAll="0">
      <items count="6">
        <item x="4"/>
        <item x="1"/>
        <item x="3"/>
        <item x="2"/>
        <item x="0"/>
        <item t="default"/>
      </items>
    </pivotField>
    <pivotField showAll="0">
      <items count="6">
        <item x="0"/>
        <item x="1"/>
        <item x="4"/>
        <item x="2"/>
        <item x="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6"/>
  </rowFields>
  <rowItems count="6">
    <i>
      <x/>
    </i>
    <i>
      <x v="1"/>
    </i>
    <i>
      <x v="2"/>
    </i>
    <i>
      <x v="3"/>
    </i>
    <i>
      <x v="4"/>
    </i>
    <i t="grand">
      <x/>
    </i>
  </rowItems>
  <colItems count="1">
    <i/>
  </colItems>
  <dataFields count="1">
    <dataField name="Sum of Leave Taken" fld="16" baseField="0" baseItem="0"/>
  </dataField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6" count="1" selected="0">
            <x v="0"/>
          </reference>
        </references>
      </pivotArea>
    </chartFormat>
    <chartFormat chart="3" format="4">
      <pivotArea type="data" outline="0" fieldPosition="0">
        <references count="2">
          <reference field="4294967294" count="1" selected="0">
            <x v="0"/>
          </reference>
          <reference field="6" count="1" selected="0">
            <x v="1"/>
          </reference>
        </references>
      </pivotArea>
    </chartFormat>
    <chartFormat chart="3" format="5">
      <pivotArea type="data" outline="0" fieldPosition="0">
        <references count="2">
          <reference field="4294967294" count="1" selected="0">
            <x v="0"/>
          </reference>
          <reference field="6" count="1" selected="0">
            <x v="2"/>
          </reference>
        </references>
      </pivotArea>
    </chartFormat>
    <chartFormat chart="3" format="6">
      <pivotArea type="data" outline="0" fieldPosition="0">
        <references count="2">
          <reference field="4294967294" count="1" selected="0">
            <x v="0"/>
          </reference>
          <reference field="6" count="1" selected="0">
            <x v="3"/>
          </reference>
        </references>
      </pivotArea>
    </chartFormat>
    <chartFormat chart="3" format="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B529B85-09AE-4183-9744-0A8FF87BA80E}" sourceName="Department">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 tabId="2" name="PivotTable15"/>
    <pivotTable tabId="2" name="PivotTable16"/>
    <pivotTable tabId="2" name="PivotTable17"/>
    <pivotTable tabId="2" name="PivotTable12"/>
    <pivotTable tabId="2" name="PivotTable13"/>
  </pivotTables>
  <data>
    <tabular pivotCacheId="1789688867">
      <items count="5">
        <i x="0" s="1"/>
        <i x="1" s="1"/>
        <i x="4"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D68A30D-F009-4E0B-8E20-844F24FADF9A}" sourceName="Gender">
  <pivotTables>
    <pivotTable tabId="2" name="PivotTable7"/>
    <pivotTable tabId="2" name="PivotTable1"/>
    <pivotTable tabId="2" name="PivotTable10"/>
    <pivotTable tabId="2" name="PivotTable2"/>
    <pivotTable tabId="2" name="PivotTable3"/>
    <pivotTable tabId="2" name="PivotTable4"/>
    <pivotTable tabId="2" name="PivotTable5"/>
    <pivotTable tabId="2" name="PivotTable6"/>
    <pivotTable tabId="2" name="PivotTable8"/>
    <pivotTable tabId="2" name="PivotTable9"/>
    <pivotTable tabId="2" name="PivotTable15"/>
    <pivotTable tabId="2" name="PivotTable16"/>
    <pivotTable tabId="2" name="PivotTable17"/>
    <pivotTable tabId="2" name="PivotTable12"/>
    <pivotTable tabId="2" name="PivotTable13"/>
  </pivotTables>
  <data>
    <tabular pivotCacheId="178968886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57E9543-7F7C-41F2-88E7-3CFA6C194962}" cache="Slicer_Department" caption="Department" columnCount="3" style="Slicer Style 1" rowHeight="247650"/>
  <slicer name="Gender" xr10:uid="{AECAC260-A79B-404F-AAB3-021CE2A1C901}" cache="Slicer_Gender" caption="Gender" columnCount="2"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7F130C-4931-4EC9-8AE2-A64F6556D3A3}" name="Table1" displayName="Table1" ref="A1:U51" totalsRowShown="0" headerRowDxfId="100" dataDxfId="99">
  <autoFilter ref="A1:U51" xr:uid="{BD7F130C-4931-4EC9-8AE2-A64F6556D3A3}"/>
  <tableColumns count="21">
    <tableColumn id="1" xr3:uid="{6BDBB43D-1DF4-4FF3-9C56-0E3D699A83FC}" name="Employee ID" dataDxfId="98"/>
    <tableColumn id="2" xr3:uid="{363D91B7-21AD-4B4B-86DE-95D24769EAA5}" name="Full Name" dataDxfId="97"/>
    <tableColumn id="3" xr3:uid="{728245EC-9766-45F5-9851-7FEFEFBE2652}" name="Gender" dataDxfId="96"/>
    <tableColumn id="4" xr3:uid="{DD8A90D1-163F-4B0E-A039-9E7A16AFC106}" name="Age" dataDxfId="95"/>
    <tableColumn id="5" xr3:uid="{0672993B-A00D-49AE-84B7-674089468A17}" name="Age range" dataDxfId="94"/>
    <tableColumn id="6" xr3:uid="{B1ADEE80-60F1-4EE3-B3FB-8484EE6C17B3}" name="Region" dataDxfId="93"/>
    <tableColumn id="7" xr3:uid="{8E0A56EE-3456-4513-ADA0-27F6CAA8C17B}" name="Job Title" dataDxfId="92"/>
    <tableColumn id="8" xr3:uid="{0D9D5DB9-01CB-4300-B0CD-256901621ADC}" name="Department" dataDxfId="91"/>
    <tableColumn id="9" xr3:uid="{9EBDAC3F-6A39-4A78-B562-848691EE3AD1}" name="Manager/Supervisor" dataDxfId="90"/>
    <tableColumn id="10" xr3:uid="{AF849F24-150A-4123-B3F8-A46B4D4F7BC6}" name="Date of Hire" dataDxfId="89"/>
    <tableColumn id="11" xr3:uid="{8C57202E-334A-462A-9C44-E5E2468122E4}" name="Employment Status" dataDxfId="88"/>
    <tableColumn id="12" xr3:uid="{8A07812C-245C-4D55-A210-3AE7E0BB84EB}" name="Work Location" dataDxfId="87"/>
    <tableColumn id="13" xr3:uid="{6441036C-01DD-4130-8E4B-DBA441BCB744}" name="Salary" dataDxfId="86"/>
    <tableColumn id="14" xr3:uid="{ADCF531A-A98E-422C-939D-04D58C2423FB}" name="Pay Grade" dataDxfId="85"/>
    <tableColumn id="15" xr3:uid="{DE922695-AE31-4F31-8F89-61E6E7E646AB}" name="Bonus/Allowances" dataDxfId="84"/>
    <tableColumn id="16" xr3:uid="{62F2B816-9954-4A01-AEDC-4C13B3A2A52F}" name="Insurance Details" dataDxfId="83"/>
    <tableColumn id="17" xr3:uid="{6EFEC335-9B75-45D5-B403-A8A9E557BE24}" name="Leave Taken" dataDxfId="82"/>
    <tableColumn id="18" xr3:uid="{9DA1B78E-154E-42E4-A1BC-FE1CF363DCBA}" name="Performance Rating" dataDxfId="81"/>
    <tableColumn id="19" xr3:uid="{7E4B5E79-5639-4E3A-91A1-D1D8767BB705}" name="Training Programs Attended" dataDxfId="80"/>
    <tableColumn id="20" xr3:uid="{2E731344-8C6D-4001-9E36-F16B80500F61}" name="Skills" dataDxfId="79"/>
    <tableColumn id="21" xr3:uid="{9DCE550B-F788-4423-B330-CAB70C041DFC}" name="Certifications" dataDxfId="78"/>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0EE15-51EA-4E58-83EC-B0A71FDF7308}">
  <dimension ref="A3:J68"/>
  <sheetViews>
    <sheetView workbookViewId="0">
      <selection activeCell="E29" sqref="E29"/>
    </sheetView>
  </sheetViews>
  <sheetFormatPr defaultRowHeight="14.4"/>
  <cols>
    <col min="1" max="1" width="12.44140625" bestFit="1" customWidth="1"/>
    <col min="2" max="3" width="18.6640625" bestFit="1" customWidth="1"/>
    <col min="4" max="4" width="12.44140625" bestFit="1" customWidth="1"/>
    <col min="5" max="5" width="18.6640625" bestFit="1" customWidth="1"/>
    <col min="6" max="6" width="15.5546875" bestFit="1" customWidth="1"/>
    <col min="7" max="7" width="5" bestFit="1" customWidth="1"/>
    <col min="8" max="8" width="10.5546875" bestFit="1" customWidth="1"/>
    <col min="9" max="9" width="12.44140625" bestFit="1" customWidth="1"/>
    <col min="10" max="10" width="18.6640625" bestFit="1" customWidth="1"/>
  </cols>
  <sheetData>
    <row r="3" spans="1:10">
      <c r="A3" s="4" t="s">
        <v>214</v>
      </c>
      <c r="B3" t="s">
        <v>216</v>
      </c>
      <c r="E3" s="4" t="s">
        <v>214</v>
      </c>
      <c r="F3" t="s">
        <v>217</v>
      </c>
      <c r="I3" s="4" t="s">
        <v>214</v>
      </c>
      <c r="J3" t="s">
        <v>216</v>
      </c>
    </row>
    <row r="4" spans="1:10">
      <c r="A4" s="5" t="s">
        <v>37</v>
      </c>
      <c r="B4" s="9">
        <v>0.48</v>
      </c>
      <c r="E4" s="5" t="s">
        <v>121</v>
      </c>
      <c r="F4" s="14">
        <v>167041</v>
      </c>
      <c r="I4" s="5">
        <v>1</v>
      </c>
      <c r="J4" s="14">
        <v>12</v>
      </c>
    </row>
    <row r="5" spans="1:10">
      <c r="A5" s="5" t="s">
        <v>22</v>
      </c>
      <c r="B5" s="9">
        <v>0.52</v>
      </c>
      <c r="E5" s="5" t="s">
        <v>40</v>
      </c>
      <c r="F5" s="14">
        <v>613842</v>
      </c>
      <c r="I5" s="5">
        <v>2</v>
      </c>
      <c r="J5" s="14">
        <v>13</v>
      </c>
    </row>
    <row r="6" spans="1:10">
      <c r="A6" s="5" t="s">
        <v>215</v>
      </c>
      <c r="B6" s="10">
        <v>1</v>
      </c>
      <c r="E6" s="5" t="s">
        <v>72</v>
      </c>
      <c r="F6" s="14">
        <v>633594</v>
      </c>
      <c r="I6" s="5">
        <v>3</v>
      </c>
      <c r="J6" s="14">
        <v>12</v>
      </c>
    </row>
    <row r="7" spans="1:10">
      <c r="E7" s="5" t="s">
        <v>50</v>
      </c>
      <c r="F7" s="14">
        <v>959266</v>
      </c>
      <c r="I7" s="5">
        <v>4</v>
      </c>
      <c r="J7" s="14">
        <v>8</v>
      </c>
    </row>
    <row r="8" spans="1:10">
      <c r="A8" s="4" t="s">
        <v>214</v>
      </c>
      <c r="B8" t="s">
        <v>216</v>
      </c>
      <c r="E8" s="5" t="s">
        <v>25</v>
      </c>
      <c r="F8" s="14">
        <v>731170</v>
      </c>
      <c r="I8" s="5">
        <v>5</v>
      </c>
      <c r="J8" s="14">
        <v>5</v>
      </c>
    </row>
    <row r="9" spans="1:10">
      <c r="A9" s="5" t="s">
        <v>26</v>
      </c>
      <c r="B9" s="14">
        <v>12</v>
      </c>
      <c r="E9" s="5" t="s">
        <v>215</v>
      </c>
      <c r="F9" s="14">
        <v>3104913</v>
      </c>
      <c r="I9" s="5" t="s">
        <v>215</v>
      </c>
      <c r="J9" s="14">
        <v>50</v>
      </c>
    </row>
    <row r="10" spans="1:10">
      <c r="A10" s="5" t="s">
        <v>41</v>
      </c>
      <c r="B10" s="14">
        <v>10</v>
      </c>
    </row>
    <row r="11" spans="1:10">
      <c r="A11" s="5" t="s">
        <v>81</v>
      </c>
      <c r="B11" s="14">
        <v>8</v>
      </c>
    </row>
    <row r="12" spans="1:10">
      <c r="A12" s="5" t="s">
        <v>51</v>
      </c>
      <c r="B12" s="14">
        <v>11</v>
      </c>
      <c r="E12" s="4" t="s">
        <v>214</v>
      </c>
      <c r="F12" t="s">
        <v>216</v>
      </c>
      <c r="I12" s="4" t="s">
        <v>214</v>
      </c>
      <c r="J12" t="s">
        <v>216</v>
      </c>
    </row>
    <row r="13" spans="1:10">
      <c r="A13" s="5" t="s">
        <v>60</v>
      </c>
      <c r="B13" s="14">
        <v>9</v>
      </c>
      <c r="E13" s="5" t="s">
        <v>75</v>
      </c>
      <c r="F13" s="15">
        <v>12</v>
      </c>
      <c r="I13" s="5" t="s">
        <v>63</v>
      </c>
      <c r="J13" s="14">
        <v>17</v>
      </c>
    </row>
    <row r="14" spans="1:10">
      <c r="A14" s="5" t="s">
        <v>215</v>
      </c>
      <c r="B14" s="14">
        <v>50</v>
      </c>
      <c r="E14" s="5" t="s">
        <v>34</v>
      </c>
      <c r="F14" s="14">
        <v>11</v>
      </c>
      <c r="I14" s="5" t="s">
        <v>29</v>
      </c>
      <c r="J14" s="14">
        <v>20</v>
      </c>
    </row>
    <row r="15" spans="1:10">
      <c r="E15" s="5" t="s">
        <v>96</v>
      </c>
      <c r="F15" s="14">
        <v>7</v>
      </c>
      <c r="I15" s="5" t="s">
        <v>111</v>
      </c>
      <c r="J15" s="14">
        <v>13</v>
      </c>
    </row>
    <row r="16" spans="1:10">
      <c r="A16" s="4" t="s">
        <v>214</v>
      </c>
      <c r="B16" t="s">
        <v>216</v>
      </c>
      <c r="E16" s="5" t="s">
        <v>56</v>
      </c>
      <c r="F16" s="14">
        <v>11</v>
      </c>
      <c r="I16" s="5" t="s">
        <v>215</v>
      </c>
      <c r="J16" s="14">
        <v>50</v>
      </c>
    </row>
    <row r="17" spans="1:10">
      <c r="A17" s="5" t="s">
        <v>23</v>
      </c>
      <c r="B17" s="14">
        <v>9</v>
      </c>
      <c r="E17" s="5" t="s">
        <v>66</v>
      </c>
      <c r="F17" s="14">
        <v>9</v>
      </c>
    </row>
    <row r="18" spans="1:10">
      <c r="A18" s="5" t="s">
        <v>38</v>
      </c>
      <c r="B18" s="14">
        <v>13</v>
      </c>
      <c r="E18" s="5" t="s">
        <v>215</v>
      </c>
      <c r="F18" s="14">
        <v>50</v>
      </c>
      <c r="H18" s="8"/>
      <c r="I18" s="4" t="s">
        <v>214</v>
      </c>
      <c r="J18" t="s">
        <v>218</v>
      </c>
    </row>
    <row r="19" spans="1:10">
      <c r="A19" s="5" t="s">
        <v>59</v>
      </c>
      <c r="B19" s="14">
        <v>12</v>
      </c>
      <c r="I19" s="5" t="s">
        <v>121</v>
      </c>
      <c r="J19" s="14">
        <v>28</v>
      </c>
    </row>
    <row r="20" spans="1:10">
      <c r="A20" s="5" t="s">
        <v>98</v>
      </c>
      <c r="B20" s="14">
        <v>7</v>
      </c>
      <c r="D20" s="4" t="s">
        <v>214</v>
      </c>
      <c r="E20" t="s">
        <v>216</v>
      </c>
      <c r="I20" s="5" t="s">
        <v>40</v>
      </c>
      <c r="J20" s="14">
        <v>110</v>
      </c>
    </row>
    <row r="21" spans="1:10">
      <c r="A21" s="5" t="s">
        <v>68</v>
      </c>
      <c r="B21" s="14">
        <v>9</v>
      </c>
      <c r="D21" s="5" t="s">
        <v>22</v>
      </c>
      <c r="E21" s="9">
        <v>0.52</v>
      </c>
      <c r="I21" s="5" t="s">
        <v>72</v>
      </c>
      <c r="J21" s="14">
        <v>104</v>
      </c>
    </row>
    <row r="22" spans="1:10">
      <c r="A22" s="5" t="s">
        <v>215</v>
      </c>
      <c r="B22" s="14">
        <v>50</v>
      </c>
      <c r="D22" s="5" t="s">
        <v>37</v>
      </c>
      <c r="E22" s="9">
        <v>0.48</v>
      </c>
      <c r="I22" s="5" t="s">
        <v>50</v>
      </c>
      <c r="J22" s="14">
        <v>123</v>
      </c>
    </row>
    <row r="23" spans="1:10">
      <c r="D23" s="5" t="s">
        <v>215</v>
      </c>
      <c r="E23" s="10">
        <v>1</v>
      </c>
      <c r="I23" s="5" t="s">
        <v>25</v>
      </c>
      <c r="J23" s="14">
        <v>122</v>
      </c>
    </row>
    <row r="24" spans="1:10">
      <c r="I24" s="5" t="s">
        <v>215</v>
      </c>
      <c r="J24" s="14">
        <v>487</v>
      </c>
    </row>
    <row r="28" spans="1:10">
      <c r="B28" t="s">
        <v>219</v>
      </c>
    </row>
    <row r="29" spans="1:10" ht="47.4">
      <c r="B29" s="7">
        <v>2.62</v>
      </c>
      <c r="I29" s="4" t="s">
        <v>214</v>
      </c>
      <c r="J29" t="s">
        <v>216</v>
      </c>
    </row>
    <row r="30" spans="1:10">
      <c r="E30" s="5"/>
      <c r="F30" s="8">
        <f>C38/50</f>
        <v>0</v>
      </c>
      <c r="I30" s="5" t="s">
        <v>75</v>
      </c>
      <c r="J30" s="14">
        <v>12</v>
      </c>
    </row>
    <row r="31" spans="1:10">
      <c r="E31" s="5" t="s">
        <v>30</v>
      </c>
      <c r="F31" s="8">
        <f>C39/50</f>
        <v>0</v>
      </c>
      <c r="I31" s="5" t="s">
        <v>34</v>
      </c>
      <c r="J31" s="14">
        <v>11</v>
      </c>
    </row>
    <row r="32" spans="1:10">
      <c r="E32" s="5" t="s">
        <v>54</v>
      </c>
      <c r="F32" s="8">
        <f>C40/50</f>
        <v>0</v>
      </c>
      <c r="I32" s="5" t="s">
        <v>96</v>
      </c>
      <c r="J32" s="14">
        <v>7</v>
      </c>
    </row>
    <row r="33" spans="2:10">
      <c r="I33" s="5" t="s">
        <v>56</v>
      </c>
      <c r="J33" s="14">
        <v>11</v>
      </c>
    </row>
    <row r="34" spans="2:10">
      <c r="I34" s="5" t="s">
        <v>66</v>
      </c>
      <c r="J34" s="14">
        <v>9</v>
      </c>
    </row>
    <row r="35" spans="2:10">
      <c r="I35" s="5" t="s">
        <v>215</v>
      </c>
      <c r="J35" s="14">
        <v>50</v>
      </c>
    </row>
    <row r="36" spans="2:10" ht="18">
      <c r="C36" t="s">
        <v>220</v>
      </c>
      <c r="D36" s="13">
        <f>COUNTIF(Table1[Gender],"Male")/COUNTA(Table1[Gender])</f>
        <v>0.48</v>
      </c>
      <c r="E36">
        <f>1-D36</f>
        <v>0.52</v>
      </c>
    </row>
    <row r="37" spans="2:10" ht="18">
      <c r="B37" s="14" t="s">
        <v>216</v>
      </c>
      <c r="C37" s="12" t="s">
        <v>221</v>
      </c>
      <c r="D37" s="13">
        <f>COUNTIF(Table1[Gender],"Female")/COUNTA(Table1[Gender])</f>
        <v>0.52</v>
      </c>
      <c r="E37" s="9">
        <f>1-D37</f>
        <v>0.48</v>
      </c>
    </row>
    <row r="38" spans="2:10" ht="47.4">
      <c r="B38" s="16">
        <v>50</v>
      </c>
      <c r="C38" s="12"/>
    </row>
    <row r="39" spans="2:10">
      <c r="B39" s="12"/>
      <c r="C39" s="12"/>
    </row>
    <row r="40" spans="2:10">
      <c r="B40" s="12"/>
      <c r="C40" s="12"/>
      <c r="I40" s="4" t="s">
        <v>214</v>
      </c>
      <c r="J40" t="s">
        <v>216</v>
      </c>
    </row>
    <row r="41" spans="2:10">
      <c r="B41" s="12"/>
      <c r="C41" s="12"/>
      <c r="I41" s="5" t="s">
        <v>44</v>
      </c>
      <c r="J41" s="9">
        <v>0.46</v>
      </c>
    </row>
    <row r="42" spans="2:10">
      <c r="D42" s="11"/>
      <c r="I42" s="5" t="s">
        <v>30</v>
      </c>
      <c r="J42" s="9">
        <v>0.16</v>
      </c>
    </row>
    <row r="43" spans="2:10">
      <c r="D43" s="5" t="s">
        <v>22</v>
      </c>
      <c r="E43" s="9">
        <v>0.52</v>
      </c>
      <c r="I43" s="5" t="s">
        <v>54</v>
      </c>
      <c r="J43" s="9">
        <v>0.38</v>
      </c>
    </row>
    <row r="44" spans="2:10">
      <c r="D44" s="5" t="s">
        <v>37</v>
      </c>
      <c r="E44" s="9">
        <v>0.48</v>
      </c>
      <c r="I44" s="5" t="s">
        <v>215</v>
      </c>
      <c r="J44" s="10">
        <v>1</v>
      </c>
    </row>
    <row r="51" spans="1:8">
      <c r="E51" s="4" t="s">
        <v>216</v>
      </c>
      <c r="F51" s="4" t="s">
        <v>222</v>
      </c>
    </row>
    <row r="52" spans="1:8">
      <c r="E52" s="4" t="s">
        <v>214</v>
      </c>
      <c r="F52" t="s">
        <v>22</v>
      </c>
      <c r="G52" t="s">
        <v>37</v>
      </c>
      <c r="H52" t="s">
        <v>215</v>
      </c>
    </row>
    <row r="53" spans="1:8">
      <c r="E53" s="5" t="s">
        <v>23</v>
      </c>
      <c r="F53" s="14">
        <v>6</v>
      </c>
      <c r="G53" s="14">
        <v>3</v>
      </c>
      <c r="H53" s="14">
        <v>9</v>
      </c>
    </row>
    <row r="54" spans="1:8">
      <c r="A54" s="4" t="s">
        <v>214</v>
      </c>
      <c r="B54" t="s">
        <v>223</v>
      </c>
      <c r="E54" s="5" t="s">
        <v>38</v>
      </c>
      <c r="F54" s="14">
        <v>7</v>
      </c>
      <c r="G54" s="14">
        <v>6</v>
      </c>
      <c r="H54" s="14">
        <v>13</v>
      </c>
    </row>
    <row r="55" spans="1:8">
      <c r="A55" s="5" t="s">
        <v>121</v>
      </c>
      <c r="B55" s="19">
        <v>41760.25</v>
      </c>
      <c r="E55" s="5" t="s">
        <v>59</v>
      </c>
      <c r="F55" s="14">
        <v>5</v>
      </c>
      <c r="G55" s="14">
        <v>7</v>
      </c>
      <c r="H55" s="14">
        <v>12</v>
      </c>
    </row>
    <row r="56" spans="1:8">
      <c r="A56" s="5" t="s">
        <v>40</v>
      </c>
      <c r="B56" s="18">
        <v>61384.2</v>
      </c>
      <c r="E56" s="5" t="s">
        <v>98</v>
      </c>
      <c r="F56" s="14">
        <v>4</v>
      </c>
      <c r="G56" s="14">
        <v>3</v>
      </c>
      <c r="H56" s="14">
        <v>7</v>
      </c>
    </row>
    <row r="57" spans="1:8">
      <c r="A57" s="5" t="s">
        <v>72</v>
      </c>
      <c r="B57" s="18">
        <v>70399.333333333328</v>
      </c>
      <c r="E57" s="5" t="s">
        <v>68</v>
      </c>
      <c r="F57" s="14">
        <v>4</v>
      </c>
      <c r="G57" s="14">
        <v>5</v>
      </c>
      <c r="H57" s="14">
        <v>9</v>
      </c>
    </row>
    <row r="58" spans="1:8">
      <c r="A58" s="5" t="s">
        <v>50</v>
      </c>
      <c r="B58" s="18">
        <v>68519</v>
      </c>
      <c r="E58" s="5" t="s">
        <v>215</v>
      </c>
      <c r="F58" s="14">
        <v>26</v>
      </c>
      <c r="G58" s="14">
        <v>24</v>
      </c>
      <c r="H58" s="14">
        <v>50</v>
      </c>
    </row>
    <row r="59" spans="1:8">
      <c r="A59" s="5" t="s">
        <v>25</v>
      </c>
      <c r="B59" s="18">
        <v>56243.846153846156</v>
      </c>
    </row>
    <row r="60" spans="1:8">
      <c r="A60" s="5" t="s">
        <v>215</v>
      </c>
      <c r="B60" s="14">
        <v>62098.26</v>
      </c>
    </row>
    <row r="62" spans="1:8">
      <c r="A62" s="4" t="s">
        <v>214</v>
      </c>
      <c r="B62" t="s">
        <v>216</v>
      </c>
    </row>
    <row r="63" spans="1:8">
      <c r="A63" s="5" t="s">
        <v>39</v>
      </c>
      <c r="B63" s="14">
        <v>14</v>
      </c>
    </row>
    <row r="64" spans="1:8">
      <c r="A64" s="5" t="s">
        <v>24</v>
      </c>
      <c r="B64" s="14">
        <v>10</v>
      </c>
    </row>
    <row r="65" spans="1:2">
      <c r="A65" s="5" t="s">
        <v>102</v>
      </c>
      <c r="B65" s="14">
        <v>7</v>
      </c>
    </row>
    <row r="66" spans="1:2">
      <c r="A66" s="5" t="s">
        <v>80</v>
      </c>
      <c r="B66" s="14">
        <v>10</v>
      </c>
    </row>
    <row r="67" spans="1:2">
      <c r="A67" s="5" t="s">
        <v>49</v>
      </c>
      <c r="B67" s="14">
        <v>9</v>
      </c>
    </row>
    <row r="68" spans="1:2">
      <c r="A68" s="5" t="s">
        <v>215</v>
      </c>
      <c r="B68" s="14">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FB809-C82C-4C31-B569-A3107C9C3DA8}">
  <dimension ref="B1:W35"/>
  <sheetViews>
    <sheetView showGridLines="0" showRowColHeaders="0" tabSelected="1" zoomScale="110" zoomScaleNormal="110" workbookViewId="0">
      <selection activeCell="A2" sqref="A2"/>
    </sheetView>
  </sheetViews>
  <sheetFormatPr defaultRowHeight="14.4"/>
  <sheetData>
    <row r="1" spans="23:23">
      <c r="W1" s="6"/>
    </row>
    <row r="26" spans="2:2">
      <c r="B26" s="5"/>
    </row>
    <row r="27" spans="2:2">
      <c r="B27" s="5"/>
    </row>
    <row r="28" spans="2:2">
      <c r="B28" s="5"/>
    </row>
    <row r="29" spans="2:2">
      <c r="B29" s="5"/>
    </row>
    <row r="30" spans="2:2">
      <c r="B30" s="5"/>
    </row>
    <row r="35" spans="20:20">
      <c r="T35"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DDBEA-0C7D-4729-B9B7-DD33FC9EA67D}">
  <dimension ref="A1:U51"/>
  <sheetViews>
    <sheetView zoomScale="113" workbookViewId="0">
      <selection activeCell="H44" sqref="H44"/>
    </sheetView>
  </sheetViews>
  <sheetFormatPr defaultColWidth="9.109375" defaultRowHeight="13.8"/>
  <cols>
    <col min="1" max="1" width="17.6640625" style="2" bestFit="1" customWidth="1"/>
    <col min="2" max="2" width="18.109375" style="2" bestFit="1" customWidth="1"/>
    <col min="3" max="3" width="12.88671875" style="2" bestFit="1" customWidth="1"/>
    <col min="4" max="4" width="9.5546875" style="2" bestFit="1" customWidth="1"/>
    <col min="5" max="5" width="15.88671875" style="2" bestFit="1" customWidth="1"/>
    <col min="6" max="6" width="12.33203125" style="2" bestFit="1" customWidth="1"/>
    <col min="7" max="7" width="14.109375" style="2" bestFit="1" customWidth="1"/>
    <col min="8" max="8" width="17.44140625" style="2" bestFit="1" customWidth="1"/>
    <col min="9" max="9" width="25.6640625" style="2" bestFit="1" customWidth="1"/>
    <col min="10" max="10" width="18" style="2" bestFit="1" customWidth="1"/>
    <col min="11" max="11" width="25" style="2" bestFit="1" customWidth="1"/>
    <col min="12" max="12" width="20.33203125" style="2" bestFit="1" customWidth="1"/>
    <col min="13" max="13" width="11.88671875" style="2" bestFit="1" customWidth="1"/>
    <col min="14" max="14" width="16.109375" style="2" bestFit="1" customWidth="1"/>
    <col min="15" max="15" width="24" style="2" bestFit="1" customWidth="1"/>
    <col min="16" max="16" width="22.6640625" style="2" bestFit="1" customWidth="1"/>
    <col min="17" max="17" width="18.109375" style="2" bestFit="1" customWidth="1"/>
    <col min="18" max="18" width="25.44140625" style="2" bestFit="1" customWidth="1"/>
    <col min="19" max="19" width="34" style="2" bestFit="1" customWidth="1"/>
    <col min="20" max="20" width="16" style="2" bestFit="1" customWidth="1"/>
    <col min="21" max="21" width="21.109375" style="2" bestFit="1" customWidth="1"/>
    <col min="22" max="16384" width="9.109375" style="2"/>
  </cols>
  <sheetData>
    <row r="1" spans="1:21" ht="4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3">
        <v>4294</v>
      </c>
      <c r="B2" s="3" t="s">
        <v>21</v>
      </c>
      <c r="C2" s="3" t="s">
        <v>22</v>
      </c>
      <c r="D2" s="3">
        <v>25</v>
      </c>
      <c r="E2" s="3" t="s">
        <v>23</v>
      </c>
      <c r="F2" s="3" t="s">
        <v>24</v>
      </c>
      <c r="G2" s="3" t="s">
        <v>25</v>
      </c>
      <c r="H2" s="3" t="s">
        <v>26</v>
      </c>
      <c r="I2" s="3" t="s">
        <v>27</v>
      </c>
      <c r="J2" s="3" t="s">
        <v>28</v>
      </c>
      <c r="K2" s="3" t="s">
        <v>29</v>
      </c>
      <c r="L2" s="3" t="s">
        <v>30</v>
      </c>
      <c r="M2" s="3">
        <v>53700</v>
      </c>
      <c r="N2" s="3" t="s">
        <v>31</v>
      </c>
      <c r="O2" s="3">
        <v>1463</v>
      </c>
      <c r="P2" s="3" t="s">
        <v>32</v>
      </c>
      <c r="Q2" s="3">
        <v>1</v>
      </c>
      <c r="R2" s="3">
        <v>1</v>
      </c>
      <c r="S2" s="3" t="s">
        <v>33</v>
      </c>
      <c r="T2" s="3" t="s">
        <v>34</v>
      </c>
      <c r="U2" s="3" t="s">
        <v>35</v>
      </c>
    </row>
    <row r="3" spans="1:21">
      <c r="A3" s="3">
        <v>9116</v>
      </c>
      <c r="B3" s="3" t="s">
        <v>36</v>
      </c>
      <c r="C3" s="3" t="s">
        <v>37</v>
      </c>
      <c r="D3" s="3">
        <v>27</v>
      </c>
      <c r="E3" s="3" t="s">
        <v>38</v>
      </c>
      <c r="F3" s="3" t="s">
        <v>39</v>
      </c>
      <c r="G3" s="3" t="s">
        <v>40</v>
      </c>
      <c r="H3" s="3" t="s">
        <v>41</v>
      </c>
      <c r="I3" s="3" t="s">
        <v>42</v>
      </c>
      <c r="J3" s="3" t="s">
        <v>43</v>
      </c>
      <c r="K3" s="3" t="s">
        <v>29</v>
      </c>
      <c r="L3" s="3" t="s">
        <v>44</v>
      </c>
      <c r="M3" s="3">
        <v>91091</v>
      </c>
      <c r="N3" s="3" t="s">
        <v>45</v>
      </c>
      <c r="O3" s="3">
        <v>1024</v>
      </c>
      <c r="P3" s="3" t="s">
        <v>46</v>
      </c>
      <c r="Q3" s="3">
        <v>19</v>
      </c>
      <c r="R3" s="3">
        <v>4</v>
      </c>
      <c r="S3" s="3" t="s">
        <v>47</v>
      </c>
      <c r="T3" s="3" t="s">
        <v>34</v>
      </c>
      <c r="U3" s="3" t="s">
        <v>35</v>
      </c>
    </row>
    <row r="4" spans="1:21">
      <c r="A4" s="3">
        <v>5120</v>
      </c>
      <c r="B4" s="3" t="s">
        <v>48</v>
      </c>
      <c r="C4" s="3" t="s">
        <v>37</v>
      </c>
      <c r="D4" s="3">
        <v>34</v>
      </c>
      <c r="E4" s="3" t="s">
        <v>38</v>
      </c>
      <c r="F4" s="3" t="s">
        <v>49</v>
      </c>
      <c r="G4" s="3" t="s">
        <v>50</v>
      </c>
      <c r="H4" s="3" t="s">
        <v>51</v>
      </c>
      <c r="I4" s="3" t="s">
        <v>52</v>
      </c>
      <c r="J4" s="3" t="s">
        <v>53</v>
      </c>
      <c r="K4" s="3" t="s">
        <v>29</v>
      </c>
      <c r="L4" s="3" t="s">
        <v>54</v>
      </c>
      <c r="M4" s="3">
        <v>57538</v>
      </c>
      <c r="N4" s="3" t="s">
        <v>55</v>
      </c>
      <c r="O4" s="3">
        <v>1674</v>
      </c>
      <c r="P4" s="3" t="s">
        <v>46</v>
      </c>
      <c r="Q4" s="3">
        <v>8</v>
      </c>
      <c r="R4" s="3">
        <v>1</v>
      </c>
      <c r="S4" s="3" t="s">
        <v>46</v>
      </c>
      <c r="T4" s="3" t="s">
        <v>56</v>
      </c>
      <c r="U4" s="3" t="s">
        <v>57</v>
      </c>
    </row>
    <row r="5" spans="1:21">
      <c r="A5" s="3">
        <v>8071</v>
      </c>
      <c r="B5" s="3" t="s">
        <v>58</v>
      </c>
      <c r="C5" s="3" t="s">
        <v>22</v>
      </c>
      <c r="D5" s="3">
        <v>41</v>
      </c>
      <c r="E5" s="3" t="s">
        <v>59</v>
      </c>
      <c r="F5" s="3" t="s">
        <v>49</v>
      </c>
      <c r="G5" s="3" t="s">
        <v>25</v>
      </c>
      <c r="H5" s="3" t="s">
        <v>60</v>
      </c>
      <c r="I5" s="3" t="s">
        <v>61</v>
      </c>
      <c r="J5" s="3" t="s">
        <v>62</v>
      </c>
      <c r="K5" s="3" t="s">
        <v>63</v>
      </c>
      <c r="L5" s="3" t="s">
        <v>30</v>
      </c>
      <c r="M5" s="3">
        <v>62993</v>
      </c>
      <c r="N5" s="3" t="s">
        <v>64</v>
      </c>
      <c r="O5" s="3">
        <v>2695</v>
      </c>
      <c r="P5" s="3" t="s">
        <v>65</v>
      </c>
      <c r="Q5" s="3">
        <v>0</v>
      </c>
      <c r="R5" s="3">
        <v>2</v>
      </c>
      <c r="S5" s="3" t="s">
        <v>46</v>
      </c>
      <c r="T5" s="3" t="s">
        <v>66</v>
      </c>
      <c r="U5" s="3" t="s">
        <v>46</v>
      </c>
    </row>
    <row r="6" spans="1:21">
      <c r="A6" s="3">
        <v>9351</v>
      </c>
      <c r="B6" s="3" t="s">
        <v>67</v>
      </c>
      <c r="C6" s="3" t="s">
        <v>37</v>
      </c>
      <c r="D6" s="3">
        <v>56</v>
      </c>
      <c r="E6" s="3" t="s">
        <v>68</v>
      </c>
      <c r="F6" s="3" t="s">
        <v>24</v>
      </c>
      <c r="G6" s="3" t="s">
        <v>25</v>
      </c>
      <c r="H6" s="3" t="s">
        <v>51</v>
      </c>
      <c r="I6" s="3" t="s">
        <v>69</v>
      </c>
      <c r="J6" s="3" t="s">
        <v>70</v>
      </c>
      <c r="K6" s="3" t="s">
        <v>63</v>
      </c>
      <c r="L6" s="3" t="s">
        <v>44</v>
      </c>
      <c r="M6" s="3">
        <v>45773</v>
      </c>
      <c r="N6" s="3" t="s">
        <v>64</v>
      </c>
      <c r="O6" s="3">
        <v>8776</v>
      </c>
      <c r="P6" s="3" t="s">
        <v>32</v>
      </c>
      <c r="Q6" s="3">
        <v>16</v>
      </c>
      <c r="R6" s="3">
        <v>4</v>
      </c>
      <c r="S6" s="3" t="s">
        <v>33</v>
      </c>
      <c r="T6" s="3" t="s">
        <v>66</v>
      </c>
      <c r="U6" s="3" t="s">
        <v>46</v>
      </c>
    </row>
    <row r="7" spans="1:21">
      <c r="A7" s="3">
        <v>2873</v>
      </c>
      <c r="B7" s="3" t="s">
        <v>71</v>
      </c>
      <c r="C7" s="3" t="s">
        <v>22</v>
      </c>
      <c r="D7" s="3">
        <v>28</v>
      </c>
      <c r="E7" s="3" t="s">
        <v>38</v>
      </c>
      <c r="F7" s="3" t="s">
        <v>49</v>
      </c>
      <c r="G7" s="3" t="s">
        <v>72</v>
      </c>
      <c r="H7" s="3" t="s">
        <v>51</v>
      </c>
      <c r="I7" s="3" t="s">
        <v>73</v>
      </c>
      <c r="J7" s="3" t="s">
        <v>74</v>
      </c>
      <c r="K7" s="3" t="s">
        <v>29</v>
      </c>
      <c r="L7" s="3" t="s">
        <v>44</v>
      </c>
      <c r="M7" s="3">
        <v>96249</v>
      </c>
      <c r="N7" s="3" t="s">
        <v>31</v>
      </c>
      <c r="O7" s="3">
        <v>4826</v>
      </c>
      <c r="P7" s="3" t="s">
        <v>65</v>
      </c>
      <c r="Q7" s="3">
        <v>7</v>
      </c>
      <c r="R7" s="3">
        <v>3</v>
      </c>
      <c r="S7" s="3" t="s">
        <v>33</v>
      </c>
      <c r="T7" s="3" t="s">
        <v>75</v>
      </c>
      <c r="U7" s="3" t="s">
        <v>35</v>
      </c>
    </row>
    <row r="8" spans="1:21">
      <c r="A8" s="3">
        <v>3540</v>
      </c>
      <c r="B8" s="3" t="s">
        <v>76</v>
      </c>
      <c r="C8" s="3" t="s">
        <v>22</v>
      </c>
      <c r="D8" s="3">
        <v>20</v>
      </c>
      <c r="E8" s="3" t="s">
        <v>23</v>
      </c>
      <c r="F8" s="3" t="s">
        <v>39</v>
      </c>
      <c r="G8" s="3" t="s">
        <v>50</v>
      </c>
      <c r="H8" s="3" t="s">
        <v>51</v>
      </c>
      <c r="I8" s="3" t="s">
        <v>77</v>
      </c>
      <c r="J8" s="3" t="s">
        <v>78</v>
      </c>
      <c r="K8" s="3" t="s">
        <v>29</v>
      </c>
      <c r="L8" s="3" t="s">
        <v>54</v>
      </c>
      <c r="M8" s="3">
        <v>61596</v>
      </c>
      <c r="N8" s="3" t="s">
        <v>31</v>
      </c>
      <c r="O8" s="3">
        <v>8818</v>
      </c>
      <c r="P8" s="3" t="s">
        <v>65</v>
      </c>
      <c r="Q8" s="3">
        <v>4</v>
      </c>
      <c r="R8" s="3">
        <v>2</v>
      </c>
      <c r="S8" s="3" t="s">
        <v>33</v>
      </c>
      <c r="T8" s="3" t="s">
        <v>56</v>
      </c>
      <c r="U8" s="3" t="s">
        <v>46</v>
      </c>
    </row>
    <row r="9" spans="1:21">
      <c r="A9" s="3">
        <v>3653</v>
      </c>
      <c r="B9" s="3" t="s">
        <v>79</v>
      </c>
      <c r="C9" s="3" t="s">
        <v>22</v>
      </c>
      <c r="D9" s="3">
        <v>58</v>
      </c>
      <c r="E9" s="3" t="s">
        <v>68</v>
      </c>
      <c r="F9" s="3" t="s">
        <v>80</v>
      </c>
      <c r="G9" s="3" t="s">
        <v>40</v>
      </c>
      <c r="H9" s="3" t="s">
        <v>81</v>
      </c>
      <c r="I9" s="3" t="s">
        <v>82</v>
      </c>
      <c r="J9" s="3" t="s">
        <v>83</v>
      </c>
      <c r="K9" s="3" t="s">
        <v>29</v>
      </c>
      <c r="L9" s="3" t="s">
        <v>54</v>
      </c>
      <c r="M9" s="3">
        <v>97869</v>
      </c>
      <c r="N9" s="3" t="s">
        <v>64</v>
      </c>
      <c r="O9" s="3">
        <v>1966</v>
      </c>
      <c r="P9" s="3" t="s">
        <v>32</v>
      </c>
      <c r="Q9" s="3">
        <v>10</v>
      </c>
      <c r="R9" s="3">
        <v>1</v>
      </c>
      <c r="S9" s="3" t="s">
        <v>33</v>
      </c>
      <c r="T9" s="3" t="s">
        <v>34</v>
      </c>
      <c r="U9" s="3" t="s">
        <v>35</v>
      </c>
    </row>
    <row r="10" spans="1:21">
      <c r="A10" s="3">
        <v>5587</v>
      </c>
      <c r="B10" s="3" t="s">
        <v>84</v>
      </c>
      <c r="C10" s="3" t="s">
        <v>22</v>
      </c>
      <c r="D10" s="3">
        <v>44</v>
      </c>
      <c r="E10" s="3" t="s">
        <v>59</v>
      </c>
      <c r="F10" s="3" t="s">
        <v>80</v>
      </c>
      <c r="G10" s="3" t="s">
        <v>50</v>
      </c>
      <c r="H10" s="3" t="s">
        <v>51</v>
      </c>
      <c r="I10" s="3" t="s">
        <v>85</v>
      </c>
      <c r="J10" s="3" t="s">
        <v>86</v>
      </c>
      <c r="K10" s="3" t="s">
        <v>29</v>
      </c>
      <c r="L10" s="3" t="s">
        <v>30</v>
      </c>
      <c r="M10" s="3">
        <v>81235</v>
      </c>
      <c r="N10" s="3" t="s">
        <v>64</v>
      </c>
      <c r="O10" s="3">
        <v>6553</v>
      </c>
      <c r="P10" s="3" t="s">
        <v>46</v>
      </c>
      <c r="Q10" s="3">
        <v>16</v>
      </c>
      <c r="R10" s="3">
        <v>2</v>
      </c>
      <c r="S10" s="3" t="s">
        <v>46</v>
      </c>
      <c r="T10" s="3" t="s">
        <v>56</v>
      </c>
      <c r="U10" s="3" t="s">
        <v>35</v>
      </c>
    </row>
    <row r="11" spans="1:21">
      <c r="A11" s="3">
        <v>9554</v>
      </c>
      <c r="B11" s="3" t="s">
        <v>87</v>
      </c>
      <c r="C11" s="3" t="s">
        <v>22</v>
      </c>
      <c r="D11" s="3">
        <v>29</v>
      </c>
      <c r="E11" s="3" t="s">
        <v>38</v>
      </c>
      <c r="F11" s="3" t="s">
        <v>39</v>
      </c>
      <c r="G11" s="3" t="s">
        <v>50</v>
      </c>
      <c r="H11" s="3" t="s">
        <v>60</v>
      </c>
      <c r="I11" s="3" t="s">
        <v>88</v>
      </c>
      <c r="J11" s="3" t="s">
        <v>89</v>
      </c>
      <c r="K11" s="3" t="s">
        <v>29</v>
      </c>
      <c r="L11" s="3" t="s">
        <v>44</v>
      </c>
      <c r="M11" s="3">
        <v>87852</v>
      </c>
      <c r="N11" s="3" t="s">
        <v>64</v>
      </c>
      <c r="O11" s="3">
        <v>4980</v>
      </c>
      <c r="P11" s="3" t="s">
        <v>65</v>
      </c>
      <c r="Q11" s="3">
        <v>19</v>
      </c>
      <c r="R11" s="3">
        <v>3</v>
      </c>
      <c r="S11" s="3" t="s">
        <v>46</v>
      </c>
      <c r="T11" s="3" t="s">
        <v>66</v>
      </c>
      <c r="U11" s="3" t="s">
        <v>35</v>
      </c>
    </row>
    <row r="12" spans="1:21">
      <c r="A12" s="3">
        <v>6213</v>
      </c>
      <c r="B12" s="3" t="s">
        <v>90</v>
      </c>
      <c r="C12" s="3" t="s">
        <v>37</v>
      </c>
      <c r="D12" s="3">
        <v>23</v>
      </c>
      <c r="E12" s="3" t="s">
        <v>23</v>
      </c>
      <c r="F12" s="3" t="s">
        <v>80</v>
      </c>
      <c r="G12" s="3" t="s">
        <v>25</v>
      </c>
      <c r="H12" s="3" t="s">
        <v>51</v>
      </c>
      <c r="I12" s="3" t="s">
        <v>91</v>
      </c>
      <c r="J12" s="3" t="s">
        <v>92</v>
      </c>
      <c r="K12" s="3" t="s">
        <v>63</v>
      </c>
      <c r="L12" s="3" t="s">
        <v>44</v>
      </c>
      <c r="M12" s="3">
        <v>59359</v>
      </c>
      <c r="N12" s="3" t="s">
        <v>64</v>
      </c>
      <c r="O12" s="3">
        <v>9449</v>
      </c>
      <c r="P12" s="3" t="s">
        <v>65</v>
      </c>
      <c r="Q12" s="3">
        <v>20</v>
      </c>
      <c r="R12" s="3">
        <v>3</v>
      </c>
      <c r="S12" s="3" t="s">
        <v>46</v>
      </c>
      <c r="T12" s="3" t="s">
        <v>56</v>
      </c>
      <c r="U12" s="3" t="s">
        <v>46</v>
      </c>
    </row>
    <row r="13" spans="1:21">
      <c r="A13" s="3">
        <v>9105</v>
      </c>
      <c r="B13" s="3" t="s">
        <v>93</v>
      </c>
      <c r="C13" s="3" t="s">
        <v>37</v>
      </c>
      <c r="D13" s="3">
        <v>30</v>
      </c>
      <c r="E13" s="3" t="s">
        <v>38</v>
      </c>
      <c r="F13" s="3" t="s">
        <v>24</v>
      </c>
      <c r="G13" s="3" t="s">
        <v>40</v>
      </c>
      <c r="H13" s="3" t="s">
        <v>26</v>
      </c>
      <c r="I13" s="3" t="s">
        <v>94</v>
      </c>
      <c r="J13" s="3" t="s">
        <v>95</v>
      </c>
      <c r="K13" s="3" t="s">
        <v>63</v>
      </c>
      <c r="L13" s="3" t="s">
        <v>54</v>
      </c>
      <c r="M13" s="3">
        <v>81225</v>
      </c>
      <c r="N13" s="3" t="s">
        <v>55</v>
      </c>
      <c r="O13" s="3">
        <v>6202</v>
      </c>
      <c r="P13" s="3" t="s">
        <v>65</v>
      </c>
      <c r="Q13" s="3">
        <v>2</v>
      </c>
      <c r="R13" s="3">
        <v>2</v>
      </c>
      <c r="S13" s="3" t="s">
        <v>47</v>
      </c>
      <c r="T13" s="3" t="s">
        <v>96</v>
      </c>
      <c r="U13" s="3" t="s">
        <v>35</v>
      </c>
    </row>
    <row r="14" spans="1:21">
      <c r="A14" s="3">
        <v>9508</v>
      </c>
      <c r="B14" s="3" t="s">
        <v>97</v>
      </c>
      <c r="C14" s="3" t="s">
        <v>22</v>
      </c>
      <c r="D14" s="3">
        <v>49</v>
      </c>
      <c r="E14" s="3" t="s">
        <v>98</v>
      </c>
      <c r="F14" s="3" t="s">
        <v>39</v>
      </c>
      <c r="G14" s="3" t="s">
        <v>25</v>
      </c>
      <c r="H14" s="3" t="s">
        <v>26</v>
      </c>
      <c r="I14" s="3" t="s">
        <v>99</v>
      </c>
      <c r="J14" s="3" t="s">
        <v>100</v>
      </c>
      <c r="K14" s="3" t="s">
        <v>63</v>
      </c>
      <c r="L14" s="3" t="s">
        <v>30</v>
      </c>
      <c r="M14" s="3">
        <v>32788</v>
      </c>
      <c r="N14" s="3" t="s">
        <v>55</v>
      </c>
      <c r="O14" s="3">
        <v>4396</v>
      </c>
      <c r="P14" s="3" t="s">
        <v>32</v>
      </c>
      <c r="Q14" s="3">
        <v>13</v>
      </c>
      <c r="R14" s="3">
        <v>5</v>
      </c>
      <c r="S14" s="3" t="s">
        <v>46</v>
      </c>
      <c r="T14" s="3" t="s">
        <v>75</v>
      </c>
      <c r="U14" s="3" t="s">
        <v>57</v>
      </c>
    </row>
    <row r="15" spans="1:21">
      <c r="A15" s="3">
        <v>2436</v>
      </c>
      <c r="B15" s="3" t="s">
        <v>101</v>
      </c>
      <c r="C15" s="3" t="s">
        <v>37</v>
      </c>
      <c r="D15" s="3">
        <v>60</v>
      </c>
      <c r="E15" s="3" t="s">
        <v>68</v>
      </c>
      <c r="F15" s="3" t="s">
        <v>102</v>
      </c>
      <c r="G15" s="3" t="s">
        <v>25</v>
      </c>
      <c r="H15" s="3" t="s">
        <v>60</v>
      </c>
      <c r="I15" s="3" t="s">
        <v>103</v>
      </c>
      <c r="J15" s="3" t="s">
        <v>104</v>
      </c>
      <c r="K15" s="3" t="s">
        <v>63</v>
      </c>
      <c r="L15" s="3" t="s">
        <v>54</v>
      </c>
      <c r="M15" s="3">
        <v>70452</v>
      </c>
      <c r="N15" s="3" t="s">
        <v>55</v>
      </c>
      <c r="O15" s="3">
        <v>9911</v>
      </c>
      <c r="P15" s="3" t="s">
        <v>46</v>
      </c>
      <c r="Q15" s="3">
        <v>2</v>
      </c>
      <c r="R15" s="3">
        <v>1</v>
      </c>
      <c r="S15" s="3" t="s">
        <v>46</v>
      </c>
      <c r="T15" s="3" t="s">
        <v>75</v>
      </c>
      <c r="U15" s="3" t="s">
        <v>35</v>
      </c>
    </row>
    <row r="16" spans="1:21">
      <c r="A16" s="3">
        <v>4441</v>
      </c>
      <c r="B16" s="3" t="s">
        <v>105</v>
      </c>
      <c r="C16" s="3" t="s">
        <v>37</v>
      </c>
      <c r="D16" s="3">
        <v>46</v>
      </c>
      <c r="E16" s="3" t="s">
        <v>98</v>
      </c>
      <c r="F16" s="3" t="s">
        <v>39</v>
      </c>
      <c r="G16" s="3" t="s">
        <v>72</v>
      </c>
      <c r="H16" s="3" t="s">
        <v>26</v>
      </c>
      <c r="I16" s="3" t="s">
        <v>106</v>
      </c>
      <c r="J16" s="3" t="s">
        <v>107</v>
      </c>
      <c r="K16" s="3" t="s">
        <v>29</v>
      </c>
      <c r="L16" s="3" t="s">
        <v>44</v>
      </c>
      <c r="M16" s="3">
        <v>33045</v>
      </c>
      <c r="N16" s="3" t="s">
        <v>45</v>
      </c>
      <c r="O16" s="3">
        <v>1456</v>
      </c>
      <c r="P16" s="3" t="s">
        <v>46</v>
      </c>
      <c r="Q16" s="3">
        <v>16</v>
      </c>
      <c r="R16" s="3">
        <v>3</v>
      </c>
      <c r="S16" s="3" t="s">
        <v>47</v>
      </c>
      <c r="T16" s="3" t="s">
        <v>75</v>
      </c>
      <c r="U16" s="3" t="s">
        <v>46</v>
      </c>
    </row>
    <row r="17" spans="1:21">
      <c r="A17" s="3">
        <v>5827</v>
      </c>
      <c r="B17" s="3" t="s">
        <v>108</v>
      </c>
      <c r="C17" s="3" t="s">
        <v>37</v>
      </c>
      <c r="D17" s="3">
        <v>57</v>
      </c>
      <c r="E17" s="3" t="s">
        <v>68</v>
      </c>
      <c r="F17" s="3" t="s">
        <v>49</v>
      </c>
      <c r="G17" s="3" t="s">
        <v>72</v>
      </c>
      <c r="H17" s="3" t="s">
        <v>41</v>
      </c>
      <c r="I17" s="3" t="s">
        <v>109</v>
      </c>
      <c r="J17" s="3" t="s">
        <v>110</v>
      </c>
      <c r="K17" s="3" t="s">
        <v>111</v>
      </c>
      <c r="L17" s="3" t="s">
        <v>54</v>
      </c>
      <c r="M17" s="3">
        <v>96429</v>
      </c>
      <c r="N17" s="3" t="s">
        <v>31</v>
      </c>
      <c r="O17" s="3">
        <v>4740</v>
      </c>
      <c r="P17" s="3" t="s">
        <v>46</v>
      </c>
      <c r="Q17" s="3">
        <v>8</v>
      </c>
      <c r="R17" s="3">
        <v>1</v>
      </c>
      <c r="S17" s="3" t="s">
        <v>47</v>
      </c>
      <c r="T17" s="3" t="s">
        <v>66</v>
      </c>
      <c r="U17" s="3" t="s">
        <v>46</v>
      </c>
    </row>
    <row r="18" spans="1:21">
      <c r="A18" s="3">
        <v>5184</v>
      </c>
      <c r="B18" s="3" t="s">
        <v>112</v>
      </c>
      <c r="C18" s="3" t="s">
        <v>22</v>
      </c>
      <c r="D18" s="3">
        <v>24</v>
      </c>
      <c r="E18" s="3" t="s">
        <v>23</v>
      </c>
      <c r="F18" s="3" t="s">
        <v>39</v>
      </c>
      <c r="G18" s="3" t="s">
        <v>50</v>
      </c>
      <c r="H18" s="3" t="s">
        <v>51</v>
      </c>
      <c r="I18" s="3" t="s">
        <v>113</v>
      </c>
      <c r="J18" s="3" t="s">
        <v>114</v>
      </c>
      <c r="K18" s="3" t="s">
        <v>111</v>
      </c>
      <c r="L18" s="3" t="s">
        <v>54</v>
      </c>
      <c r="M18" s="3">
        <v>33183</v>
      </c>
      <c r="N18" s="3" t="s">
        <v>64</v>
      </c>
      <c r="O18" s="3">
        <v>8114</v>
      </c>
      <c r="P18" s="3" t="s">
        <v>46</v>
      </c>
      <c r="Q18" s="3">
        <v>4</v>
      </c>
      <c r="R18" s="3">
        <v>2</v>
      </c>
      <c r="S18" s="3" t="s">
        <v>47</v>
      </c>
      <c r="T18" s="3" t="s">
        <v>96</v>
      </c>
      <c r="U18" s="3" t="s">
        <v>57</v>
      </c>
    </row>
    <row r="19" spans="1:21">
      <c r="A19" s="3">
        <v>5874</v>
      </c>
      <c r="B19" s="3" t="s">
        <v>58</v>
      </c>
      <c r="C19" s="3" t="s">
        <v>22</v>
      </c>
      <c r="D19" s="3">
        <v>35</v>
      </c>
      <c r="E19" s="3" t="s">
        <v>38</v>
      </c>
      <c r="F19" s="3" t="s">
        <v>102</v>
      </c>
      <c r="G19" s="3" t="s">
        <v>72</v>
      </c>
      <c r="H19" s="3" t="s">
        <v>26</v>
      </c>
      <c r="I19" s="3" t="s">
        <v>115</v>
      </c>
      <c r="J19" s="3" t="s">
        <v>116</v>
      </c>
      <c r="K19" s="3" t="s">
        <v>111</v>
      </c>
      <c r="L19" s="3" t="s">
        <v>30</v>
      </c>
      <c r="M19" s="3">
        <v>75065</v>
      </c>
      <c r="N19" s="3" t="s">
        <v>31</v>
      </c>
      <c r="O19" s="3">
        <v>7123</v>
      </c>
      <c r="P19" s="3" t="s">
        <v>46</v>
      </c>
      <c r="Q19" s="3">
        <v>20</v>
      </c>
      <c r="R19" s="3">
        <v>2</v>
      </c>
      <c r="S19" s="3" t="s">
        <v>46</v>
      </c>
      <c r="T19" s="3" t="s">
        <v>34</v>
      </c>
      <c r="U19" s="3" t="s">
        <v>57</v>
      </c>
    </row>
    <row r="20" spans="1:21">
      <c r="A20" s="3">
        <v>9834</v>
      </c>
      <c r="B20" s="3" t="s">
        <v>117</v>
      </c>
      <c r="C20" s="3" t="s">
        <v>37</v>
      </c>
      <c r="D20" s="3">
        <v>41</v>
      </c>
      <c r="E20" s="3" t="s">
        <v>59</v>
      </c>
      <c r="F20" s="3" t="s">
        <v>39</v>
      </c>
      <c r="G20" s="3" t="s">
        <v>40</v>
      </c>
      <c r="H20" s="3" t="s">
        <v>81</v>
      </c>
      <c r="I20" s="3" t="s">
        <v>118</v>
      </c>
      <c r="J20" s="3" t="s">
        <v>119</v>
      </c>
      <c r="K20" s="3" t="s">
        <v>29</v>
      </c>
      <c r="L20" s="3" t="s">
        <v>54</v>
      </c>
      <c r="M20" s="3">
        <v>32877</v>
      </c>
      <c r="N20" s="3" t="s">
        <v>31</v>
      </c>
      <c r="O20" s="3">
        <v>6432</v>
      </c>
      <c r="P20" s="3" t="s">
        <v>32</v>
      </c>
      <c r="Q20" s="3">
        <v>11</v>
      </c>
      <c r="R20" s="3">
        <v>1</v>
      </c>
      <c r="S20" s="3" t="s">
        <v>46</v>
      </c>
      <c r="T20" s="3" t="s">
        <v>34</v>
      </c>
      <c r="U20" s="3" t="s">
        <v>46</v>
      </c>
    </row>
    <row r="21" spans="1:21">
      <c r="A21" s="3">
        <v>5096</v>
      </c>
      <c r="B21" s="3" t="s">
        <v>120</v>
      </c>
      <c r="C21" s="3" t="s">
        <v>37</v>
      </c>
      <c r="D21" s="3">
        <v>36</v>
      </c>
      <c r="E21" s="3" t="s">
        <v>59</v>
      </c>
      <c r="F21" s="3" t="s">
        <v>39</v>
      </c>
      <c r="G21" s="3" t="s">
        <v>121</v>
      </c>
      <c r="H21" s="3" t="s">
        <v>60</v>
      </c>
      <c r="I21" s="3" t="s">
        <v>122</v>
      </c>
      <c r="J21" s="3" t="s">
        <v>123</v>
      </c>
      <c r="K21" s="3" t="s">
        <v>29</v>
      </c>
      <c r="L21" s="3" t="s">
        <v>44</v>
      </c>
      <c r="M21" s="3">
        <v>46811</v>
      </c>
      <c r="N21" s="3" t="s">
        <v>55</v>
      </c>
      <c r="O21" s="3">
        <v>1567</v>
      </c>
      <c r="P21" s="3" t="s">
        <v>46</v>
      </c>
      <c r="Q21" s="3">
        <v>7</v>
      </c>
      <c r="R21" s="3">
        <v>3</v>
      </c>
      <c r="S21" s="3" t="s">
        <v>47</v>
      </c>
      <c r="T21" s="3" t="s">
        <v>34</v>
      </c>
      <c r="U21" s="3" t="s">
        <v>57</v>
      </c>
    </row>
    <row r="22" spans="1:21">
      <c r="A22" s="3">
        <v>2263</v>
      </c>
      <c r="B22" s="3" t="s">
        <v>124</v>
      </c>
      <c r="C22" s="3" t="s">
        <v>37</v>
      </c>
      <c r="D22" s="3">
        <v>31</v>
      </c>
      <c r="E22" s="3" t="s">
        <v>38</v>
      </c>
      <c r="F22" s="3" t="s">
        <v>80</v>
      </c>
      <c r="G22" s="3" t="s">
        <v>50</v>
      </c>
      <c r="H22" s="3" t="s">
        <v>41</v>
      </c>
      <c r="I22" s="3" t="s">
        <v>125</v>
      </c>
      <c r="J22" s="3" t="s">
        <v>126</v>
      </c>
      <c r="K22" s="3" t="s">
        <v>63</v>
      </c>
      <c r="L22" s="3" t="s">
        <v>44</v>
      </c>
      <c r="M22" s="3">
        <v>87538</v>
      </c>
      <c r="N22" s="3" t="s">
        <v>31</v>
      </c>
      <c r="O22" s="3">
        <v>3588</v>
      </c>
      <c r="P22" s="3" t="s">
        <v>65</v>
      </c>
      <c r="Q22" s="3">
        <v>11</v>
      </c>
      <c r="R22" s="3">
        <v>5</v>
      </c>
      <c r="S22" s="3" t="s">
        <v>47</v>
      </c>
      <c r="T22" s="3" t="s">
        <v>66</v>
      </c>
      <c r="U22" s="3" t="s">
        <v>46</v>
      </c>
    </row>
    <row r="23" spans="1:21">
      <c r="A23" s="3">
        <v>6505</v>
      </c>
      <c r="B23" s="3" t="s">
        <v>127</v>
      </c>
      <c r="C23" s="3" t="s">
        <v>22</v>
      </c>
      <c r="D23" s="3">
        <v>28</v>
      </c>
      <c r="E23" s="3" t="s">
        <v>38</v>
      </c>
      <c r="F23" s="3" t="s">
        <v>24</v>
      </c>
      <c r="G23" s="3" t="s">
        <v>40</v>
      </c>
      <c r="H23" s="3" t="s">
        <v>81</v>
      </c>
      <c r="I23" s="3" t="s">
        <v>128</v>
      </c>
      <c r="J23" s="3" t="s">
        <v>129</v>
      </c>
      <c r="K23" s="3" t="s">
        <v>29</v>
      </c>
      <c r="L23" s="3" t="s">
        <v>44</v>
      </c>
      <c r="M23" s="3">
        <v>73002</v>
      </c>
      <c r="N23" s="3" t="s">
        <v>31</v>
      </c>
      <c r="O23" s="3">
        <v>6296</v>
      </c>
      <c r="P23" s="3" t="s">
        <v>32</v>
      </c>
      <c r="Q23" s="3">
        <v>2</v>
      </c>
      <c r="R23" s="3">
        <v>5</v>
      </c>
      <c r="S23" s="3" t="s">
        <v>47</v>
      </c>
      <c r="T23" s="3" t="s">
        <v>56</v>
      </c>
      <c r="U23" s="3" t="s">
        <v>35</v>
      </c>
    </row>
    <row r="24" spans="1:21">
      <c r="A24" s="3">
        <v>8626</v>
      </c>
      <c r="B24" s="3" t="s">
        <v>130</v>
      </c>
      <c r="C24" s="3" t="s">
        <v>37</v>
      </c>
      <c r="D24" s="3">
        <v>37</v>
      </c>
      <c r="E24" s="3" t="s">
        <v>59</v>
      </c>
      <c r="F24" s="3" t="s">
        <v>80</v>
      </c>
      <c r="G24" s="3" t="s">
        <v>40</v>
      </c>
      <c r="H24" s="3" t="s">
        <v>60</v>
      </c>
      <c r="I24" s="3" t="s">
        <v>131</v>
      </c>
      <c r="J24" s="3" t="s">
        <v>132</v>
      </c>
      <c r="K24" s="3" t="s">
        <v>111</v>
      </c>
      <c r="L24" s="3" t="s">
        <v>54</v>
      </c>
      <c r="M24" s="3">
        <v>41653</v>
      </c>
      <c r="N24" s="3" t="s">
        <v>55</v>
      </c>
      <c r="O24" s="3">
        <v>9236</v>
      </c>
      <c r="P24" s="3" t="s">
        <v>46</v>
      </c>
      <c r="Q24" s="3">
        <v>13</v>
      </c>
      <c r="R24" s="3">
        <v>1</v>
      </c>
      <c r="S24" s="3" t="s">
        <v>47</v>
      </c>
      <c r="T24" s="3" t="s">
        <v>34</v>
      </c>
      <c r="U24" s="3" t="s">
        <v>46</v>
      </c>
    </row>
    <row r="25" spans="1:21">
      <c r="A25" s="3">
        <v>5979</v>
      </c>
      <c r="B25" s="3" t="s">
        <v>133</v>
      </c>
      <c r="C25" s="3" t="s">
        <v>22</v>
      </c>
      <c r="D25" s="3">
        <v>31</v>
      </c>
      <c r="E25" s="3" t="s">
        <v>38</v>
      </c>
      <c r="F25" s="3" t="s">
        <v>24</v>
      </c>
      <c r="G25" s="3" t="s">
        <v>25</v>
      </c>
      <c r="H25" s="3" t="s">
        <v>51</v>
      </c>
      <c r="I25" s="3" t="s">
        <v>134</v>
      </c>
      <c r="J25" s="3" t="s">
        <v>135</v>
      </c>
      <c r="K25" s="3" t="s">
        <v>63</v>
      </c>
      <c r="L25" s="3" t="s">
        <v>44</v>
      </c>
      <c r="M25" s="3">
        <v>67582</v>
      </c>
      <c r="N25" s="3" t="s">
        <v>64</v>
      </c>
      <c r="O25" s="3">
        <v>1375</v>
      </c>
      <c r="P25" s="3" t="s">
        <v>32</v>
      </c>
      <c r="Q25" s="3">
        <v>20</v>
      </c>
      <c r="R25" s="3">
        <v>3</v>
      </c>
      <c r="S25" s="3" t="s">
        <v>47</v>
      </c>
      <c r="T25" s="3" t="s">
        <v>56</v>
      </c>
      <c r="U25" s="3" t="s">
        <v>46</v>
      </c>
    </row>
    <row r="26" spans="1:21">
      <c r="A26" s="3">
        <v>3104</v>
      </c>
      <c r="B26" s="3" t="s">
        <v>136</v>
      </c>
      <c r="C26" s="3" t="s">
        <v>22</v>
      </c>
      <c r="D26" s="3">
        <v>23</v>
      </c>
      <c r="E26" s="3" t="s">
        <v>23</v>
      </c>
      <c r="F26" s="3" t="s">
        <v>80</v>
      </c>
      <c r="G26" s="3" t="s">
        <v>40</v>
      </c>
      <c r="H26" s="3" t="s">
        <v>41</v>
      </c>
      <c r="I26" s="3" t="s">
        <v>137</v>
      </c>
      <c r="J26" s="3" t="s">
        <v>138</v>
      </c>
      <c r="K26" s="3" t="s">
        <v>111</v>
      </c>
      <c r="L26" s="3" t="s">
        <v>44</v>
      </c>
      <c r="M26" s="3">
        <v>37351</v>
      </c>
      <c r="N26" s="3" t="s">
        <v>55</v>
      </c>
      <c r="O26" s="3">
        <v>7858</v>
      </c>
      <c r="P26" s="3" t="s">
        <v>65</v>
      </c>
      <c r="Q26" s="3">
        <v>18</v>
      </c>
      <c r="R26" s="3">
        <v>2</v>
      </c>
      <c r="S26" s="3" t="s">
        <v>33</v>
      </c>
      <c r="T26" s="3" t="s">
        <v>56</v>
      </c>
      <c r="U26" s="3" t="s">
        <v>57</v>
      </c>
    </row>
    <row r="27" spans="1:21">
      <c r="A27" s="3">
        <v>8967</v>
      </c>
      <c r="B27" s="3" t="s">
        <v>139</v>
      </c>
      <c r="C27" s="3" t="s">
        <v>22</v>
      </c>
      <c r="D27" s="3">
        <v>48</v>
      </c>
      <c r="E27" s="3" t="s">
        <v>98</v>
      </c>
      <c r="F27" s="3" t="s">
        <v>102</v>
      </c>
      <c r="G27" s="3" t="s">
        <v>50</v>
      </c>
      <c r="H27" s="3" t="s">
        <v>26</v>
      </c>
      <c r="I27" s="3" t="s">
        <v>140</v>
      </c>
      <c r="J27" s="3" t="s">
        <v>141</v>
      </c>
      <c r="K27" s="3" t="s">
        <v>29</v>
      </c>
      <c r="L27" s="3" t="s">
        <v>44</v>
      </c>
      <c r="M27" s="3">
        <v>36721</v>
      </c>
      <c r="N27" s="3" t="s">
        <v>45</v>
      </c>
      <c r="O27" s="3">
        <v>8820</v>
      </c>
      <c r="P27" s="3" t="s">
        <v>65</v>
      </c>
      <c r="Q27" s="3">
        <v>0</v>
      </c>
      <c r="R27" s="3">
        <v>2</v>
      </c>
      <c r="S27" s="3" t="s">
        <v>47</v>
      </c>
      <c r="T27" s="3" t="s">
        <v>56</v>
      </c>
      <c r="U27" s="3" t="s">
        <v>35</v>
      </c>
    </row>
    <row r="28" spans="1:21">
      <c r="A28" s="3">
        <v>5087</v>
      </c>
      <c r="B28" s="3" t="s">
        <v>142</v>
      </c>
      <c r="C28" s="3" t="s">
        <v>37</v>
      </c>
      <c r="D28" s="3">
        <v>28</v>
      </c>
      <c r="E28" s="3" t="s">
        <v>38</v>
      </c>
      <c r="F28" s="3" t="s">
        <v>49</v>
      </c>
      <c r="G28" s="3" t="s">
        <v>121</v>
      </c>
      <c r="H28" s="3" t="s">
        <v>26</v>
      </c>
      <c r="I28" s="3" t="s">
        <v>143</v>
      </c>
      <c r="J28" s="3" t="s">
        <v>144</v>
      </c>
      <c r="K28" s="3" t="s">
        <v>63</v>
      </c>
      <c r="L28" s="3" t="s">
        <v>54</v>
      </c>
      <c r="M28" s="3">
        <v>46326</v>
      </c>
      <c r="N28" s="3" t="s">
        <v>45</v>
      </c>
      <c r="O28" s="3">
        <v>9189</v>
      </c>
      <c r="P28" s="3" t="s">
        <v>65</v>
      </c>
      <c r="Q28" s="3">
        <v>8</v>
      </c>
      <c r="R28" s="3">
        <v>4</v>
      </c>
      <c r="S28" s="3" t="s">
        <v>33</v>
      </c>
      <c r="T28" s="3" t="s">
        <v>75</v>
      </c>
      <c r="U28" s="3" t="s">
        <v>57</v>
      </c>
    </row>
    <row r="29" spans="1:21">
      <c r="A29" s="3">
        <v>3358</v>
      </c>
      <c r="B29" s="3" t="s">
        <v>145</v>
      </c>
      <c r="C29" s="3" t="s">
        <v>37</v>
      </c>
      <c r="D29" s="3">
        <v>30</v>
      </c>
      <c r="E29" s="3" t="s">
        <v>38</v>
      </c>
      <c r="F29" s="3" t="s">
        <v>39</v>
      </c>
      <c r="G29" s="3" t="s">
        <v>72</v>
      </c>
      <c r="H29" s="3" t="s">
        <v>41</v>
      </c>
      <c r="I29" s="3" t="s">
        <v>146</v>
      </c>
      <c r="J29" s="3" t="s">
        <v>147</v>
      </c>
      <c r="K29" s="3" t="s">
        <v>29</v>
      </c>
      <c r="L29" s="3" t="s">
        <v>30</v>
      </c>
      <c r="M29" s="3">
        <v>59007</v>
      </c>
      <c r="N29" s="3" t="s">
        <v>31</v>
      </c>
      <c r="O29" s="3">
        <v>3380</v>
      </c>
      <c r="P29" s="3" t="s">
        <v>32</v>
      </c>
      <c r="Q29" s="3">
        <v>17</v>
      </c>
      <c r="R29" s="3">
        <v>3</v>
      </c>
      <c r="S29" s="3" t="s">
        <v>46</v>
      </c>
      <c r="T29" s="3" t="s">
        <v>96</v>
      </c>
      <c r="U29" s="3" t="s">
        <v>35</v>
      </c>
    </row>
    <row r="30" spans="1:21">
      <c r="A30" s="3">
        <v>8256</v>
      </c>
      <c r="B30" s="3" t="s">
        <v>148</v>
      </c>
      <c r="C30" s="3" t="s">
        <v>37</v>
      </c>
      <c r="D30" s="3">
        <v>46</v>
      </c>
      <c r="E30" s="3" t="s">
        <v>98</v>
      </c>
      <c r="F30" s="3" t="s">
        <v>80</v>
      </c>
      <c r="G30" s="3" t="s">
        <v>25</v>
      </c>
      <c r="H30" s="3" t="s">
        <v>60</v>
      </c>
      <c r="I30" s="3" t="s">
        <v>149</v>
      </c>
      <c r="J30" s="3" t="s">
        <v>150</v>
      </c>
      <c r="K30" s="3" t="s">
        <v>29</v>
      </c>
      <c r="L30" s="3" t="s">
        <v>44</v>
      </c>
      <c r="M30" s="3">
        <v>52020</v>
      </c>
      <c r="N30" s="3" t="s">
        <v>45</v>
      </c>
      <c r="O30" s="3">
        <v>9585</v>
      </c>
      <c r="P30" s="3" t="s">
        <v>65</v>
      </c>
      <c r="Q30" s="3">
        <v>0</v>
      </c>
      <c r="R30" s="3">
        <v>4</v>
      </c>
      <c r="S30" s="3" t="s">
        <v>47</v>
      </c>
      <c r="T30" s="3" t="s">
        <v>96</v>
      </c>
      <c r="U30" s="3" t="s">
        <v>46</v>
      </c>
    </row>
    <row r="31" spans="1:21">
      <c r="A31" s="3">
        <v>5763</v>
      </c>
      <c r="B31" s="3" t="s">
        <v>151</v>
      </c>
      <c r="C31" s="3" t="s">
        <v>37</v>
      </c>
      <c r="D31" s="3">
        <v>44</v>
      </c>
      <c r="E31" s="3" t="s">
        <v>59</v>
      </c>
      <c r="F31" s="3" t="s">
        <v>39</v>
      </c>
      <c r="G31" s="3" t="s">
        <v>50</v>
      </c>
      <c r="H31" s="3" t="s">
        <v>41</v>
      </c>
      <c r="I31" s="3" t="s">
        <v>152</v>
      </c>
      <c r="J31" s="3" t="s">
        <v>153</v>
      </c>
      <c r="K31" s="3" t="s">
        <v>111</v>
      </c>
      <c r="L31" s="3" t="s">
        <v>44</v>
      </c>
      <c r="M31" s="3">
        <v>98961</v>
      </c>
      <c r="N31" s="3" t="s">
        <v>55</v>
      </c>
      <c r="O31" s="3">
        <v>2688</v>
      </c>
      <c r="P31" s="3" t="s">
        <v>32</v>
      </c>
      <c r="Q31" s="3">
        <v>2</v>
      </c>
      <c r="R31" s="3">
        <v>5</v>
      </c>
      <c r="S31" s="3" t="s">
        <v>47</v>
      </c>
      <c r="T31" s="3" t="s">
        <v>96</v>
      </c>
      <c r="U31" s="3" t="s">
        <v>35</v>
      </c>
    </row>
    <row r="32" spans="1:21">
      <c r="A32" s="3">
        <v>6838</v>
      </c>
      <c r="B32" s="3" t="s">
        <v>154</v>
      </c>
      <c r="C32" s="3" t="s">
        <v>37</v>
      </c>
      <c r="D32" s="3">
        <v>45</v>
      </c>
      <c r="E32" s="3" t="s">
        <v>59</v>
      </c>
      <c r="F32" s="3" t="s">
        <v>49</v>
      </c>
      <c r="G32" s="3" t="s">
        <v>72</v>
      </c>
      <c r="H32" s="3" t="s">
        <v>51</v>
      </c>
      <c r="I32" s="3" t="s">
        <v>155</v>
      </c>
      <c r="J32" s="3" t="s">
        <v>156</v>
      </c>
      <c r="K32" s="3" t="s">
        <v>111</v>
      </c>
      <c r="L32" s="3" t="s">
        <v>44</v>
      </c>
      <c r="M32" s="3">
        <v>81943</v>
      </c>
      <c r="N32" s="3" t="s">
        <v>31</v>
      </c>
      <c r="O32" s="3">
        <v>2255</v>
      </c>
      <c r="P32" s="3" t="s">
        <v>32</v>
      </c>
      <c r="Q32" s="3">
        <v>18</v>
      </c>
      <c r="R32" s="3">
        <v>2</v>
      </c>
      <c r="S32" s="3" t="s">
        <v>46</v>
      </c>
      <c r="T32" s="3" t="s">
        <v>66</v>
      </c>
      <c r="U32" s="3" t="s">
        <v>35</v>
      </c>
    </row>
    <row r="33" spans="1:21">
      <c r="A33" s="3">
        <v>9544</v>
      </c>
      <c r="B33" s="3" t="s">
        <v>157</v>
      </c>
      <c r="C33" s="3" t="s">
        <v>37</v>
      </c>
      <c r="D33" s="3">
        <v>52</v>
      </c>
      <c r="E33" s="3" t="s">
        <v>98</v>
      </c>
      <c r="F33" s="3" t="s">
        <v>102</v>
      </c>
      <c r="G33" s="3" t="s">
        <v>50</v>
      </c>
      <c r="H33" s="3" t="s">
        <v>41</v>
      </c>
      <c r="I33" s="3" t="s">
        <v>158</v>
      </c>
      <c r="J33" s="3" t="s">
        <v>159</v>
      </c>
      <c r="K33" s="3" t="s">
        <v>111</v>
      </c>
      <c r="L33" s="3" t="s">
        <v>44</v>
      </c>
      <c r="M33" s="3">
        <v>47627</v>
      </c>
      <c r="N33" s="3" t="s">
        <v>31</v>
      </c>
      <c r="O33" s="3">
        <v>1221</v>
      </c>
      <c r="P33" s="3" t="s">
        <v>46</v>
      </c>
      <c r="Q33" s="3">
        <v>4</v>
      </c>
      <c r="R33" s="3">
        <v>3</v>
      </c>
      <c r="S33" s="3" t="s">
        <v>46</v>
      </c>
      <c r="T33" s="3" t="s">
        <v>56</v>
      </c>
      <c r="U33" s="3" t="s">
        <v>46</v>
      </c>
    </row>
    <row r="34" spans="1:21">
      <c r="A34" s="3">
        <v>8012</v>
      </c>
      <c r="B34" s="3" t="s">
        <v>160</v>
      </c>
      <c r="C34" s="3" t="s">
        <v>22</v>
      </c>
      <c r="D34" s="3">
        <v>52</v>
      </c>
      <c r="E34" s="3" t="s">
        <v>98</v>
      </c>
      <c r="F34" s="3" t="s">
        <v>24</v>
      </c>
      <c r="G34" s="3" t="s">
        <v>25</v>
      </c>
      <c r="H34" s="3" t="s">
        <v>81</v>
      </c>
      <c r="I34" s="3" t="s">
        <v>161</v>
      </c>
      <c r="J34" s="3" t="s">
        <v>162</v>
      </c>
      <c r="K34" s="3" t="s">
        <v>111</v>
      </c>
      <c r="L34" s="3" t="s">
        <v>44</v>
      </c>
      <c r="M34" s="3">
        <v>56162</v>
      </c>
      <c r="N34" s="3" t="s">
        <v>55</v>
      </c>
      <c r="O34" s="3">
        <v>6560</v>
      </c>
      <c r="P34" s="3" t="s">
        <v>65</v>
      </c>
      <c r="Q34" s="3">
        <v>9</v>
      </c>
      <c r="R34" s="3">
        <v>4</v>
      </c>
      <c r="S34" s="3" t="s">
        <v>47</v>
      </c>
      <c r="T34" s="3" t="s">
        <v>75</v>
      </c>
      <c r="U34" s="3" t="s">
        <v>46</v>
      </c>
    </row>
    <row r="35" spans="1:21">
      <c r="A35" s="3">
        <v>9374</v>
      </c>
      <c r="B35" s="3" t="s">
        <v>163</v>
      </c>
      <c r="C35" s="3" t="s">
        <v>22</v>
      </c>
      <c r="D35" s="3">
        <v>42</v>
      </c>
      <c r="E35" s="3" t="s">
        <v>59</v>
      </c>
      <c r="F35" s="3" t="s">
        <v>39</v>
      </c>
      <c r="G35" s="3" t="s">
        <v>50</v>
      </c>
      <c r="H35" s="3" t="s">
        <v>51</v>
      </c>
      <c r="I35" s="3" t="s">
        <v>164</v>
      </c>
      <c r="J35" s="3" t="s">
        <v>165</v>
      </c>
      <c r="K35" s="3" t="s">
        <v>63</v>
      </c>
      <c r="L35" s="3" t="s">
        <v>54</v>
      </c>
      <c r="M35" s="3">
        <v>95734</v>
      </c>
      <c r="N35" s="3" t="s">
        <v>31</v>
      </c>
      <c r="O35" s="3">
        <v>4854</v>
      </c>
      <c r="P35" s="3" t="s">
        <v>32</v>
      </c>
      <c r="Q35" s="3">
        <v>13</v>
      </c>
      <c r="R35" s="3">
        <v>2</v>
      </c>
      <c r="S35" s="3" t="s">
        <v>33</v>
      </c>
      <c r="T35" s="3" t="s">
        <v>34</v>
      </c>
      <c r="U35" s="3" t="s">
        <v>35</v>
      </c>
    </row>
    <row r="36" spans="1:21">
      <c r="A36" s="3">
        <v>3487</v>
      </c>
      <c r="B36" s="3" t="s">
        <v>166</v>
      </c>
      <c r="C36" s="3" t="s">
        <v>37</v>
      </c>
      <c r="D36" s="3">
        <v>58</v>
      </c>
      <c r="E36" s="3" t="s">
        <v>68</v>
      </c>
      <c r="F36" s="3" t="s">
        <v>39</v>
      </c>
      <c r="G36" s="3" t="s">
        <v>40</v>
      </c>
      <c r="H36" s="3" t="s">
        <v>60</v>
      </c>
      <c r="I36" s="3" t="s">
        <v>167</v>
      </c>
      <c r="J36" s="3" t="s">
        <v>168</v>
      </c>
      <c r="K36" s="3" t="s">
        <v>63</v>
      </c>
      <c r="L36" s="3" t="s">
        <v>54</v>
      </c>
      <c r="M36" s="3">
        <v>74789</v>
      </c>
      <c r="N36" s="3" t="s">
        <v>31</v>
      </c>
      <c r="O36" s="3">
        <v>8101</v>
      </c>
      <c r="P36" s="3" t="s">
        <v>65</v>
      </c>
      <c r="Q36" s="3">
        <v>14</v>
      </c>
      <c r="R36" s="3">
        <v>5</v>
      </c>
      <c r="S36" s="3" t="s">
        <v>47</v>
      </c>
      <c r="T36" s="3" t="s">
        <v>66</v>
      </c>
      <c r="U36" s="3" t="s">
        <v>46</v>
      </c>
    </row>
    <row r="37" spans="1:21">
      <c r="A37" s="3">
        <v>8445</v>
      </c>
      <c r="B37" s="3" t="s">
        <v>169</v>
      </c>
      <c r="C37" s="3" t="s">
        <v>22</v>
      </c>
      <c r="D37" s="3">
        <v>24</v>
      </c>
      <c r="E37" s="3" t="s">
        <v>23</v>
      </c>
      <c r="F37" s="3" t="s">
        <v>102</v>
      </c>
      <c r="G37" s="3" t="s">
        <v>25</v>
      </c>
      <c r="H37" s="3" t="s">
        <v>60</v>
      </c>
      <c r="I37" s="3" t="s">
        <v>170</v>
      </c>
      <c r="J37" s="3" t="s">
        <v>171</v>
      </c>
      <c r="K37" s="3" t="s">
        <v>29</v>
      </c>
      <c r="L37" s="3" t="s">
        <v>54</v>
      </c>
      <c r="M37" s="3">
        <v>30137</v>
      </c>
      <c r="N37" s="3" t="s">
        <v>45</v>
      </c>
      <c r="O37" s="3">
        <v>4031</v>
      </c>
      <c r="P37" s="3" t="s">
        <v>46</v>
      </c>
      <c r="Q37" s="3">
        <v>5</v>
      </c>
      <c r="R37" s="3">
        <v>3</v>
      </c>
      <c r="S37" s="3" t="s">
        <v>46</v>
      </c>
      <c r="T37" s="3" t="s">
        <v>56</v>
      </c>
      <c r="U37" s="3" t="s">
        <v>35</v>
      </c>
    </row>
    <row r="38" spans="1:21">
      <c r="A38" s="3">
        <v>1550</v>
      </c>
      <c r="B38" s="3" t="s">
        <v>172</v>
      </c>
      <c r="C38" s="3" t="s">
        <v>37</v>
      </c>
      <c r="D38" s="3">
        <v>21</v>
      </c>
      <c r="E38" s="3" t="s">
        <v>23</v>
      </c>
      <c r="F38" s="3" t="s">
        <v>39</v>
      </c>
      <c r="G38" s="3" t="s">
        <v>25</v>
      </c>
      <c r="H38" s="3" t="s">
        <v>26</v>
      </c>
      <c r="I38" s="3" t="s">
        <v>173</v>
      </c>
      <c r="J38" s="3" t="s">
        <v>174</v>
      </c>
      <c r="K38" s="3" t="s">
        <v>29</v>
      </c>
      <c r="L38" s="3" t="s">
        <v>54</v>
      </c>
      <c r="M38" s="3">
        <v>95510</v>
      </c>
      <c r="N38" s="3" t="s">
        <v>31</v>
      </c>
      <c r="O38" s="3">
        <v>6811</v>
      </c>
      <c r="P38" s="3" t="s">
        <v>32</v>
      </c>
      <c r="Q38" s="3">
        <v>18</v>
      </c>
      <c r="R38" s="3">
        <v>4</v>
      </c>
      <c r="S38" s="3" t="s">
        <v>47</v>
      </c>
      <c r="T38" s="3" t="s">
        <v>96</v>
      </c>
      <c r="U38" s="3" t="s">
        <v>35</v>
      </c>
    </row>
    <row r="39" spans="1:21">
      <c r="A39" s="3">
        <v>9968</v>
      </c>
      <c r="B39" s="3" t="s">
        <v>175</v>
      </c>
      <c r="C39" s="3" t="s">
        <v>37</v>
      </c>
      <c r="D39" s="3">
        <v>58</v>
      </c>
      <c r="E39" s="3" t="s">
        <v>68</v>
      </c>
      <c r="F39" s="3" t="s">
        <v>39</v>
      </c>
      <c r="G39" s="3" t="s">
        <v>72</v>
      </c>
      <c r="H39" s="3" t="s">
        <v>26</v>
      </c>
      <c r="I39" s="3" t="s">
        <v>176</v>
      </c>
      <c r="J39" s="3" t="s">
        <v>177</v>
      </c>
      <c r="K39" s="3" t="s">
        <v>63</v>
      </c>
      <c r="L39" s="3" t="s">
        <v>30</v>
      </c>
      <c r="M39" s="3">
        <v>80325</v>
      </c>
      <c r="N39" s="3" t="s">
        <v>45</v>
      </c>
      <c r="O39" s="3">
        <v>6230</v>
      </c>
      <c r="P39" s="3" t="s">
        <v>32</v>
      </c>
      <c r="Q39" s="3">
        <v>5</v>
      </c>
      <c r="R39" s="3">
        <v>4</v>
      </c>
      <c r="S39" s="3" t="s">
        <v>46</v>
      </c>
      <c r="T39" s="3" t="s">
        <v>66</v>
      </c>
      <c r="U39" s="3" t="s">
        <v>57</v>
      </c>
    </row>
    <row r="40" spans="1:21">
      <c r="A40" s="3">
        <v>8029</v>
      </c>
      <c r="B40" s="3" t="s">
        <v>178</v>
      </c>
      <c r="C40" s="3" t="s">
        <v>22</v>
      </c>
      <c r="D40" s="3">
        <v>57</v>
      </c>
      <c r="E40" s="3" t="s">
        <v>68</v>
      </c>
      <c r="F40" s="3" t="s">
        <v>80</v>
      </c>
      <c r="G40" s="3" t="s">
        <v>121</v>
      </c>
      <c r="H40" s="3" t="s">
        <v>81</v>
      </c>
      <c r="I40" s="3" t="s">
        <v>179</v>
      </c>
      <c r="J40" s="3" t="s">
        <v>180</v>
      </c>
      <c r="K40" s="3" t="s">
        <v>111</v>
      </c>
      <c r="L40" s="3" t="s">
        <v>44</v>
      </c>
      <c r="M40" s="3">
        <v>34109</v>
      </c>
      <c r="N40" s="3" t="s">
        <v>45</v>
      </c>
      <c r="O40" s="3">
        <v>9232</v>
      </c>
      <c r="P40" s="3" t="s">
        <v>32</v>
      </c>
      <c r="Q40" s="3">
        <v>13</v>
      </c>
      <c r="R40" s="3">
        <v>3</v>
      </c>
      <c r="S40" s="3" t="s">
        <v>33</v>
      </c>
      <c r="T40" s="3" t="s">
        <v>34</v>
      </c>
      <c r="U40" s="3" t="s">
        <v>35</v>
      </c>
    </row>
    <row r="41" spans="1:21">
      <c r="A41" s="3">
        <v>8847</v>
      </c>
      <c r="B41" s="3" t="s">
        <v>181</v>
      </c>
      <c r="C41" s="3" t="s">
        <v>37</v>
      </c>
      <c r="D41" s="3">
        <v>41</v>
      </c>
      <c r="E41" s="3" t="s">
        <v>59</v>
      </c>
      <c r="F41" s="3" t="s">
        <v>80</v>
      </c>
      <c r="G41" s="3" t="s">
        <v>72</v>
      </c>
      <c r="H41" s="3" t="s">
        <v>26</v>
      </c>
      <c r="I41" s="3" t="s">
        <v>182</v>
      </c>
      <c r="J41" s="3" t="s">
        <v>183</v>
      </c>
      <c r="K41" s="3" t="s">
        <v>111</v>
      </c>
      <c r="L41" s="3" t="s">
        <v>54</v>
      </c>
      <c r="M41" s="3">
        <v>73330</v>
      </c>
      <c r="N41" s="3" t="s">
        <v>31</v>
      </c>
      <c r="O41" s="3">
        <v>2276</v>
      </c>
      <c r="P41" s="3" t="s">
        <v>65</v>
      </c>
      <c r="Q41" s="3">
        <v>5</v>
      </c>
      <c r="R41" s="3">
        <v>1</v>
      </c>
      <c r="S41" s="3" t="s">
        <v>46</v>
      </c>
      <c r="T41" s="3" t="s">
        <v>56</v>
      </c>
      <c r="U41" s="3" t="s">
        <v>57</v>
      </c>
    </row>
    <row r="42" spans="1:21">
      <c r="A42" s="3">
        <v>1955</v>
      </c>
      <c r="B42" s="3" t="s">
        <v>184</v>
      </c>
      <c r="C42" s="3" t="s">
        <v>22</v>
      </c>
      <c r="D42" s="3">
        <v>58</v>
      </c>
      <c r="E42" s="3" t="s">
        <v>68</v>
      </c>
      <c r="F42" s="3" t="s">
        <v>49</v>
      </c>
      <c r="G42" s="3" t="s">
        <v>50</v>
      </c>
      <c r="H42" s="3" t="s">
        <v>41</v>
      </c>
      <c r="I42" s="3" t="s">
        <v>185</v>
      </c>
      <c r="J42" s="3" t="s">
        <v>186</v>
      </c>
      <c r="K42" s="3" t="s">
        <v>63</v>
      </c>
      <c r="L42" s="3" t="s">
        <v>54</v>
      </c>
      <c r="M42" s="3">
        <v>46567</v>
      </c>
      <c r="N42" s="3" t="s">
        <v>64</v>
      </c>
      <c r="O42" s="3">
        <v>2825</v>
      </c>
      <c r="P42" s="3" t="s">
        <v>32</v>
      </c>
      <c r="Q42" s="3">
        <v>15</v>
      </c>
      <c r="R42" s="3">
        <v>3</v>
      </c>
      <c r="S42" s="3" t="s">
        <v>46</v>
      </c>
      <c r="T42" s="3" t="s">
        <v>96</v>
      </c>
      <c r="U42" s="3" t="s">
        <v>57</v>
      </c>
    </row>
    <row r="43" spans="1:21">
      <c r="A43" s="3">
        <v>4522</v>
      </c>
      <c r="B43" s="3" t="s">
        <v>187</v>
      </c>
      <c r="C43" s="3" t="s">
        <v>22</v>
      </c>
      <c r="D43" s="3">
        <v>36</v>
      </c>
      <c r="E43" s="3" t="s">
        <v>59</v>
      </c>
      <c r="F43" s="3" t="s">
        <v>24</v>
      </c>
      <c r="G43" s="3" t="s">
        <v>121</v>
      </c>
      <c r="H43" s="3" t="s">
        <v>26</v>
      </c>
      <c r="I43" s="3" t="s">
        <v>188</v>
      </c>
      <c r="J43" s="3" t="s">
        <v>189</v>
      </c>
      <c r="K43" s="3" t="s">
        <v>63</v>
      </c>
      <c r="L43" s="3" t="s">
        <v>44</v>
      </c>
      <c r="M43" s="3">
        <v>39795</v>
      </c>
      <c r="N43" s="3" t="s">
        <v>64</v>
      </c>
      <c r="O43" s="3">
        <v>1670</v>
      </c>
      <c r="P43" s="3" t="s">
        <v>46</v>
      </c>
      <c r="Q43" s="3">
        <v>0</v>
      </c>
      <c r="R43" s="3">
        <v>2</v>
      </c>
      <c r="S43" s="3" t="s">
        <v>47</v>
      </c>
      <c r="T43" s="3" t="s">
        <v>75</v>
      </c>
      <c r="U43" s="3" t="s">
        <v>46</v>
      </c>
    </row>
    <row r="44" spans="1:21">
      <c r="A44" s="3">
        <v>3078</v>
      </c>
      <c r="B44" s="3" t="s">
        <v>190</v>
      </c>
      <c r="C44" s="3" t="s">
        <v>22</v>
      </c>
      <c r="D44" s="3">
        <v>21</v>
      </c>
      <c r="E44" s="3" t="s">
        <v>23</v>
      </c>
      <c r="F44" s="3" t="s">
        <v>24</v>
      </c>
      <c r="G44" s="3" t="s">
        <v>25</v>
      </c>
      <c r="H44" s="3" t="s">
        <v>81</v>
      </c>
      <c r="I44" s="3" t="s">
        <v>191</v>
      </c>
      <c r="J44" s="3" t="s">
        <v>192</v>
      </c>
      <c r="K44" s="3" t="s">
        <v>63</v>
      </c>
      <c r="L44" s="3" t="s">
        <v>54</v>
      </c>
      <c r="M44" s="3">
        <v>59506</v>
      </c>
      <c r="N44" s="3" t="s">
        <v>64</v>
      </c>
      <c r="O44" s="3">
        <v>4428</v>
      </c>
      <c r="P44" s="3" t="s">
        <v>65</v>
      </c>
      <c r="Q44" s="3">
        <v>0</v>
      </c>
      <c r="R44" s="3">
        <v>1</v>
      </c>
      <c r="S44" s="3" t="s">
        <v>46</v>
      </c>
      <c r="T44" s="3" t="s">
        <v>75</v>
      </c>
      <c r="U44" s="3" t="s">
        <v>35</v>
      </c>
    </row>
    <row r="45" spans="1:21">
      <c r="A45" s="3">
        <v>6357</v>
      </c>
      <c r="B45" s="3" t="s">
        <v>193</v>
      </c>
      <c r="C45" s="3" t="s">
        <v>22</v>
      </c>
      <c r="D45" s="3">
        <v>46</v>
      </c>
      <c r="E45" s="3" t="s">
        <v>98</v>
      </c>
      <c r="F45" s="3" t="s">
        <v>49</v>
      </c>
      <c r="G45" s="3" t="s">
        <v>40</v>
      </c>
      <c r="H45" s="3" t="s">
        <v>81</v>
      </c>
      <c r="I45" s="3" t="s">
        <v>194</v>
      </c>
      <c r="J45" s="3" t="s">
        <v>195</v>
      </c>
      <c r="K45" s="3" t="s">
        <v>63</v>
      </c>
      <c r="L45" s="3" t="s">
        <v>54</v>
      </c>
      <c r="M45" s="3">
        <v>49058</v>
      </c>
      <c r="N45" s="3" t="s">
        <v>45</v>
      </c>
      <c r="O45" s="3">
        <v>4396</v>
      </c>
      <c r="P45" s="3" t="s">
        <v>46</v>
      </c>
      <c r="Q45" s="3">
        <v>5</v>
      </c>
      <c r="R45" s="3">
        <v>1</v>
      </c>
      <c r="S45" s="3" t="s">
        <v>46</v>
      </c>
      <c r="T45" s="3" t="s">
        <v>75</v>
      </c>
      <c r="U45" s="3" t="s">
        <v>46</v>
      </c>
    </row>
    <row r="46" spans="1:21">
      <c r="A46" s="3">
        <v>7951</v>
      </c>
      <c r="B46" s="3" t="s">
        <v>196</v>
      </c>
      <c r="C46" s="3" t="s">
        <v>22</v>
      </c>
      <c r="D46" s="3">
        <v>36</v>
      </c>
      <c r="E46" s="3" t="s">
        <v>59</v>
      </c>
      <c r="F46" s="3" t="s">
        <v>80</v>
      </c>
      <c r="G46" s="3" t="s">
        <v>50</v>
      </c>
      <c r="H46" s="3" t="s">
        <v>81</v>
      </c>
      <c r="I46" s="3" t="s">
        <v>197</v>
      </c>
      <c r="J46" s="3" t="s">
        <v>198</v>
      </c>
      <c r="K46" s="3" t="s">
        <v>63</v>
      </c>
      <c r="L46" s="3" t="s">
        <v>30</v>
      </c>
      <c r="M46" s="3">
        <v>98612</v>
      </c>
      <c r="N46" s="3" t="s">
        <v>64</v>
      </c>
      <c r="O46" s="3">
        <v>1168</v>
      </c>
      <c r="P46" s="3" t="s">
        <v>46</v>
      </c>
      <c r="Q46" s="3">
        <v>9</v>
      </c>
      <c r="R46" s="3">
        <v>2</v>
      </c>
      <c r="S46" s="3" t="s">
        <v>47</v>
      </c>
      <c r="T46" s="3" t="s">
        <v>34</v>
      </c>
      <c r="U46" s="3" t="s">
        <v>35</v>
      </c>
    </row>
    <row r="47" spans="1:21">
      <c r="A47" s="3">
        <v>9228</v>
      </c>
      <c r="B47" s="3" t="s">
        <v>199</v>
      </c>
      <c r="C47" s="3" t="s">
        <v>37</v>
      </c>
      <c r="D47" s="3">
        <v>41</v>
      </c>
      <c r="E47" s="3" t="s">
        <v>59</v>
      </c>
      <c r="F47" s="3" t="s">
        <v>102</v>
      </c>
      <c r="G47" s="3" t="s">
        <v>72</v>
      </c>
      <c r="H47" s="3" t="s">
        <v>41</v>
      </c>
      <c r="I47" s="3" t="s">
        <v>200</v>
      </c>
      <c r="J47" s="3" t="s">
        <v>201</v>
      </c>
      <c r="K47" s="3" t="s">
        <v>111</v>
      </c>
      <c r="L47" s="3" t="s">
        <v>44</v>
      </c>
      <c r="M47" s="3">
        <v>38201</v>
      </c>
      <c r="N47" s="3" t="s">
        <v>64</v>
      </c>
      <c r="O47" s="3">
        <v>7111</v>
      </c>
      <c r="P47" s="3" t="s">
        <v>32</v>
      </c>
      <c r="Q47" s="3">
        <v>8</v>
      </c>
      <c r="R47" s="3">
        <v>4</v>
      </c>
      <c r="S47" s="3" t="s">
        <v>33</v>
      </c>
      <c r="T47" s="3" t="s">
        <v>75</v>
      </c>
      <c r="U47" s="3" t="s">
        <v>46</v>
      </c>
    </row>
    <row r="48" spans="1:21">
      <c r="A48" s="3">
        <v>8988</v>
      </c>
      <c r="B48" s="3" t="s">
        <v>202</v>
      </c>
      <c r="C48" s="3" t="s">
        <v>37</v>
      </c>
      <c r="D48" s="3">
        <v>25</v>
      </c>
      <c r="E48" s="3" t="s">
        <v>23</v>
      </c>
      <c r="F48" s="3" t="s">
        <v>24</v>
      </c>
      <c r="G48" s="3" t="s">
        <v>50</v>
      </c>
      <c r="H48" s="3" t="s">
        <v>51</v>
      </c>
      <c r="I48" s="3" t="s">
        <v>203</v>
      </c>
      <c r="J48" s="3" t="s">
        <v>204</v>
      </c>
      <c r="K48" s="3" t="s">
        <v>111</v>
      </c>
      <c r="L48" s="3" t="s">
        <v>44</v>
      </c>
      <c r="M48" s="3">
        <v>92919</v>
      </c>
      <c r="N48" s="3" t="s">
        <v>55</v>
      </c>
      <c r="O48" s="3">
        <v>9497</v>
      </c>
      <c r="P48" s="3" t="s">
        <v>32</v>
      </c>
      <c r="Q48" s="3">
        <v>7</v>
      </c>
      <c r="R48" s="3">
        <v>2</v>
      </c>
      <c r="S48" s="3" t="s">
        <v>46</v>
      </c>
      <c r="T48" s="3" t="s">
        <v>75</v>
      </c>
      <c r="U48" s="3" t="s">
        <v>57</v>
      </c>
    </row>
    <row r="49" spans="1:21">
      <c r="A49" s="3">
        <v>1952</v>
      </c>
      <c r="B49" s="3" t="s">
        <v>205</v>
      </c>
      <c r="C49" s="3" t="s">
        <v>22</v>
      </c>
      <c r="D49" s="3">
        <v>29</v>
      </c>
      <c r="E49" s="3" t="s">
        <v>38</v>
      </c>
      <c r="F49" s="3" t="s">
        <v>102</v>
      </c>
      <c r="G49" s="3" t="s">
        <v>25</v>
      </c>
      <c r="H49" s="3" t="s">
        <v>41</v>
      </c>
      <c r="I49" s="3" t="s">
        <v>206</v>
      </c>
      <c r="J49" s="3" t="s">
        <v>207</v>
      </c>
      <c r="K49" s="3" t="s">
        <v>29</v>
      </c>
      <c r="L49" s="3" t="s">
        <v>54</v>
      </c>
      <c r="M49" s="3">
        <v>45188</v>
      </c>
      <c r="N49" s="3" t="s">
        <v>64</v>
      </c>
      <c r="O49" s="3">
        <v>9591</v>
      </c>
      <c r="P49" s="3" t="s">
        <v>65</v>
      </c>
      <c r="Q49" s="3">
        <v>18</v>
      </c>
      <c r="R49" s="3">
        <v>3</v>
      </c>
      <c r="S49" s="3" t="s">
        <v>33</v>
      </c>
      <c r="T49" s="3" t="s">
        <v>75</v>
      </c>
      <c r="U49" s="3" t="s">
        <v>46</v>
      </c>
    </row>
    <row r="50" spans="1:21">
      <c r="A50" s="3">
        <v>5760</v>
      </c>
      <c r="B50" s="3" t="s">
        <v>208</v>
      </c>
      <c r="C50" s="3" t="s">
        <v>22</v>
      </c>
      <c r="D50" s="3">
        <v>59</v>
      </c>
      <c r="E50" s="3" t="s">
        <v>68</v>
      </c>
      <c r="F50" s="3" t="s">
        <v>49</v>
      </c>
      <c r="G50" s="3" t="s">
        <v>40</v>
      </c>
      <c r="H50" s="3" t="s">
        <v>26</v>
      </c>
      <c r="I50" s="3" t="s">
        <v>209</v>
      </c>
      <c r="J50" s="3" t="s">
        <v>210</v>
      </c>
      <c r="K50" s="3" t="s">
        <v>29</v>
      </c>
      <c r="L50" s="3" t="s">
        <v>44</v>
      </c>
      <c r="M50" s="3">
        <v>34927</v>
      </c>
      <c r="N50" s="3" t="s">
        <v>55</v>
      </c>
      <c r="O50" s="3">
        <v>6996</v>
      </c>
      <c r="P50" s="3" t="s">
        <v>65</v>
      </c>
      <c r="Q50" s="3">
        <v>16</v>
      </c>
      <c r="R50" s="3">
        <v>1</v>
      </c>
      <c r="S50" s="3" t="s">
        <v>47</v>
      </c>
      <c r="T50" s="3" t="s">
        <v>34</v>
      </c>
      <c r="U50" s="3" t="s">
        <v>35</v>
      </c>
    </row>
    <row r="51" spans="1:21">
      <c r="A51" s="3">
        <v>5742</v>
      </c>
      <c r="B51" s="3" t="s">
        <v>211</v>
      </c>
      <c r="C51" s="3" t="s">
        <v>22</v>
      </c>
      <c r="D51" s="3">
        <v>27</v>
      </c>
      <c r="E51" s="3" t="s">
        <v>38</v>
      </c>
      <c r="F51" s="3" t="s">
        <v>24</v>
      </c>
      <c r="G51" s="3" t="s">
        <v>50</v>
      </c>
      <c r="H51" s="3" t="s">
        <v>60</v>
      </c>
      <c r="I51" s="3" t="s">
        <v>212</v>
      </c>
      <c r="J51" s="3" t="s">
        <v>213</v>
      </c>
      <c r="K51" s="3" t="s">
        <v>29</v>
      </c>
      <c r="L51" s="3" t="s">
        <v>44</v>
      </c>
      <c r="M51" s="3">
        <v>33183</v>
      </c>
      <c r="N51" s="3" t="s">
        <v>64</v>
      </c>
      <c r="O51" s="3">
        <v>1659</v>
      </c>
      <c r="P51" s="3" t="s">
        <v>46</v>
      </c>
      <c r="Q51" s="3">
        <v>11</v>
      </c>
      <c r="R51" s="3">
        <v>1</v>
      </c>
      <c r="S51" s="3" t="s">
        <v>33</v>
      </c>
      <c r="T51" s="3" t="s">
        <v>66</v>
      </c>
      <c r="U51" s="3" t="s">
        <v>46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95CDEE8F-99EE-4AC6-BC37-E8F5EC468FAD}">
  <ds:schemaRefs/>
</ds:datastoreItem>
</file>

<file path=customXml/itemProps2.xml><?xml version="1.0" encoding="utf-8"?>
<ds:datastoreItem xmlns:ds="http://schemas.openxmlformats.org/officeDocument/2006/customXml" ds:itemID="{BB62C236-E5B7-449F-8A31-6DF2521F303B}">
  <ds:schemaRefs/>
</ds:datastoreItem>
</file>

<file path=customXml/itemProps3.xml><?xml version="1.0" encoding="utf-8"?>
<ds:datastoreItem xmlns:ds="http://schemas.openxmlformats.org/officeDocument/2006/customXml" ds:itemID="{E166C996-B9FA-4872-830A-64BF67E9C6E4}">
  <ds:schemaRefs/>
</ds:datastoreItem>
</file>

<file path=customXml/itemProps4.xml><?xml version="1.0" encoding="utf-8"?>
<ds:datastoreItem xmlns:ds="http://schemas.openxmlformats.org/officeDocument/2006/customXml" ds:itemID="{27576C14-A4B6-4B27-9287-11E9E478CB14}">
  <ds:schemaRefs/>
</ds:datastoreItem>
</file>

<file path=customXml/itemProps5.xml><?xml version="1.0" encoding="utf-8"?>
<ds:datastoreItem xmlns:ds="http://schemas.openxmlformats.org/officeDocument/2006/customXml" ds:itemID="{67CE1084-C661-4BAE-A080-3A14E0F28D9E}">
  <ds:schemaRefs/>
</ds:datastoreItem>
</file>

<file path=customXml/itemProps6.xml><?xml version="1.0" encoding="utf-8"?>
<ds:datastoreItem xmlns:ds="http://schemas.openxmlformats.org/officeDocument/2006/customXml" ds:itemID="{7317EA8A-47F9-44CE-B8D5-6378CD9DADBE}">
  <ds:schemaRefs/>
</ds:datastoreItem>
</file>

<file path=customXml/itemProps7.xml><?xml version="1.0" encoding="utf-8"?>
<ds:datastoreItem xmlns:ds="http://schemas.openxmlformats.org/officeDocument/2006/customXml" ds:itemID="{883F77E7-6DCA-45C6-B9DB-02F095E059E1}">
  <ds:schemaRefs/>
</ds:datastoreItem>
</file>

<file path=customXml/itemProps8.xml><?xml version="1.0" encoding="utf-8"?>
<ds:datastoreItem xmlns:ds="http://schemas.openxmlformats.org/officeDocument/2006/customXml" ds:itemID="{2454D4D2-2C5B-4960-864C-077CCD62E948}">
  <ds:schemaRefs/>
</ds:datastoreItem>
</file>

<file path=customXml/itemProps9.xml><?xml version="1.0" encoding="utf-8"?>
<ds:datastoreItem xmlns:ds="http://schemas.openxmlformats.org/officeDocument/2006/customXml" ds:itemID="{741129F9-1823-435C-8B92-F4E6F2C2E03C}">
  <ds:schemaRefs/>
</ds:datastoreItem>
</file>

<file path=customXml/itemProps10.xml><?xml version="1.0" encoding="utf-8"?>
<ds:datastoreItem xmlns:ds="http://schemas.openxmlformats.org/officeDocument/2006/customXml" ds:itemID="{DCD1E9F2-8A83-46AC-B0C9-141E0E103D43}">
  <ds:schemaRefs/>
</ds:datastoreItem>
</file>

<file path=customXml/itemProps11.xml><?xml version="1.0" encoding="utf-8"?>
<ds:datastoreItem xmlns:ds="http://schemas.openxmlformats.org/officeDocument/2006/customXml" ds:itemID="{F36442AB-88A7-4B62-A103-EBE6C8DE2A2D}">
  <ds:schemaRefs/>
</ds:datastoreItem>
</file>

<file path=customXml/itemProps12.xml><?xml version="1.0" encoding="utf-8"?>
<ds:datastoreItem xmlns:ds="http://schemas.openxmlformats.org/officeDocument/2006/customXml" ds:itemID="{16A28D2D-0AB9-4DAB-A5EF-2950F5968655}">
  <ds:schemaRefs/>
</ds:datastoreItem>
</file>

<file path=customXml/itemProps13.xml><?xml version="1.0" encoding="utf-8"?>
<ds:datastoreItem xmlns:ds="http://schemas.openxmlformats.org/officeDocument/2006/customXml" ds:itemID="{A9DFAD70-1AF1-40CE-9A92-2D37C6A1EC2C}">
  <ds:schemaRefs/>
</ds:datastoreItem>
</file>

<file path=customXml/itemProps14.xml><?xml version="1.0" encoding="utf-8"?>
<ds:datastoreItem xmlns:ds="http://schemas.openxmlformats.org/officeDocument/2006/customXml" ds:itemID="{35ED880C-D81B-4011-B11D-0BF5272AD2C1}">
  <ds:schemaRefs/>
</ds:datastoreItem>
</file>

<file path=customXml/itemProps15.xml><?xml version="1.0" encoding="utf-8"?>
<ds:datastoreItem xmlns:ds="http://schemas.openxmlformats.org/officeDocument/2006/customXml" ds:itemID="{44D7EAC2-FF6E-4909-9B91-374BF400C1F7}">
  <ds:schemaRefs/>
</ds:datastoreItem>
</file>

<file path=customXml/itemProps16.xml><?xml version="1.0" encoding="utf-8"?>
<ds:datastoreItem xmlns:ds="http://schemas.openxmlformats.org/officeDocument/2006/customXml" ds:itemID="{1821F528-EDB7-40BE-9483-024CC50404DC}">
  <ds:schemaRefs/>
</ds:datastoreItem>
</file>

<file path=customXml/itemProps17.xml><?xml version="1.0" encoding="utf-8"?>
<ds:datastoreItem xmlns:ds="http://schemas.openxmlformats.org/officeDocument/2006/customXml" ds:itemID="{3659C3D3-540E-4CD9-9795-24486C60BD2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Yasser</dc:creator>
  <cp:lastModifiedBy>Omar khaled Mansour</cp:lastModifiedBy>
  <dcterms:created xsi:type="dcterms:W3CDTF">2024-12-11T17:14:33Z</dcterms:created>
  <dcterms:modified xsi:type="dcterms:W3CDTF">2026-03-17T22:44:18Z</dcterms:modified>
</cp:coreProperties>
</file>